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Dashboard" sheetId="1" state="visible" r:id="rId1"/>
    <sheet xmlns:r="http://schemas.openxmlformats.org/officeDocument/2006/relationships" name="📈 Budget vs Actual" sheetId="2" state="visible" r:id="rId2"/>
    <sheet xmlns:r="http://schemas.openxmlformats.org/officeDocument/2006/relationships" name="🌍 Regional Analysis" sheetId="3" state="visible" r:id="rId3"/>
    <sheet xmlns:r="http://schemas.openxmlformats.org/officeDocument/2006/relationships" name="👥 Client Reporting" sheetId="4" state="visible" r:id="rId4"/>
    <sheet xmlns:r="http://schemas.openxmlformats.org/officeDocument/2006/relationships" name="🎯 KPI Tracker" sheetId="5" state="visible" r:id="rId5"/>
    <sheet xmlns:r="http://schemas.openxmlformats.org/officeDocument/2006/relationships" name="🏢 Dept Expenses" sheetId="6" state="visible" r:id="rId6"/>
    <sheet xmlns:r="http://schemas.openxmlformats.org/officeDocument/2006/relationships" name="📉 Trend Analysis" sheetId="7" state="visible" r:id="rId7"/>
    <sheet xmlns:r="http://schemas.openxmlformats.org/officeDocument/2006/relationships" name="💾 SQL Queries" sheetId="8" state="visible" r:id="rId8"/>
    <sheet xmlns:r="http://schemas.openxmlformats.org/officeDocument/2006/relationships" name="🐍 Python Engine" sheetId="9" state="visible" r:id="rId9"/>
    <sheet xmlns:r="http://schemas.openxmlformats.org/officeDocument/2006/relationships" name="🏗️ Architectu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&quot;%&quot;"/>
    <numFmt numFmtId="166" formatCode="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8"/>
    </font>
    <font>
      <name val="Calibri"/>
      <b val="1"/>
      <color rgb="002E75B6"/>
      <sz val="22"/>
    </font>
    <font>
      <name val="Calibri"/>
      <b val="1"/>
      <color rgb="001E8449"/>
      <sz val="22"/>
    </font>
    <font>
      <name val="Calibri"/>
      <b val="1"/>
      <color rgb="001F3864"/>
      <sz val="22"/>
    </font>
    <font>
      <name val="Calibri"/>
      <b val="1"/>
      <color rgb="001E5631"/>
      <sz val="22"/>
    </font>
    <font>
      <name val="Calibri"/>
      <b val="1"/>
      <color rgb="00B7950B"/>
      <sz val="22"/>
    </font>
    <font>
      <name val="Calibri"/>
      <b val="1"/>
      <color rgb="002E75B6"/>
      <sz val="18"/>
    </font>
    <font>
      <name val="Calibri"/>
      <b val="1"/>
      <color rgb="001E5631"/>
      <sz val="18"/>
    </font>
    <font>
      <name val="Calibri"/>
      <b val="1"/>
      <color rgb="00B7950B"/>
      <sz val="18"/>
    </font>
    <font>
      <name val="Calibri"/>
      <b val="1"/>
      <color rgb="001F3864"/>
      <sz val="1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ourier New"/>
      <b val="1"/>
      <color rgb="002E75B6"/>
      <sz val="9"/>
    </font>
    <font>
      <name val="Courier New"/>
      <b val="1"/>
      <color rgb="00000000"/>
      <sz val="9"/>
    </font>
    <font>
      <name val="Courier New"/>
      <color rgb="00000000"/>
      <sz val="9"/>
    </font>
    <font>
      <name val="Courier New"/>
      <b val="1"/>
      <color rgb="001E5631"/>
      <sz val="9"/>
    </font>
    <font>
      <name val="Calibri"/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F2F2F2"/>
      </patternFill>
    </fill>
    <fill>
      <patternFill patternType="solid">
        <fgColor rgb="001E5631"/>
      </patternFill>
    </fill>
    <fill>
      <patternFill patternType="solid">
        <fgColor rgb="00B7950B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C0392B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4" fillId="3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left" vertical="center"/>
    </xf>
    <xf numFmtId="164" fontId="15" fillId="7" borderId="6" applyAlignment="1" pivotButton="0" quotePrefix="0" xfId="0">
      <alignment horizontal="right" vertical="center"/>
    </xf>
    <xf numFmtId="165" fontId="15" fillId="7" borderId="6" applyAlignment="1" pivotButton="0" quotePrefix="0" xfId="0">
      <alignment horizontal="right" vertical="center"/>
    </xf>
    <xf numFmtId="0" fontId="15" fillId="12" borderId="6" applyAlignment="1" pivotButton="0" quotePrefix="0" xfId="0">
      <alignment horizontal="left" vertical="center"/>
    </xf>
    <xf numFmtId="164" fontId="15" fillId="12" borderId="6" applyAlignment="1" pivotButton="0" quotePrefix="0" xfId="0">
      <alignment horizontal="right" vertical="center"/>
    </xf>
    <xf numFmtId="165" fontId="15" fillId="12" borderId="6" applyAlignment="1" pivotButton="0" quotePrefix="0" xfId="0">
      <alignment horizontal="right" vertical="center"/>
    </xf>
    <xf numFmtId="0" fontId="16" fillId="2" borderId="1" applyAlignment="1" pivotButton="0" quotePrefix="0" xfId="0">
      <alignment horizontal="center" vertical="center" wrapText="1"/>
    </xf>
    <xf numFmtId="164" fontId="15" fillId="11" borderId="6" applyAlignment="1" pivotButton="0" quotePrefix="0" xfId="0">
      <alignment horizontal="right" vertical="center"/>
    </xf>
    <xf numFmtId="164" fontId="15" fillId="6" borderId="6" applyAlignment="1" pivotButton="0" quotePrefix="0" xfId="0">
      <alignment horizontal="right" vertical="center"/>
    </xf>
    <xf numFmtId="0" fontId="15" fillId="4" borderId="6" applyAlignment="1" pivotButton="0" quotePrefix="0" xfId="0">
      <alignment horizontal="left" vertical="center"/>
    </xf>
    <xf numFmtId="164" fontId="15" fillId="4" borderId="6" applyAlignment="1" pivotButton="0" quotePrefix="0" xfId="0">
      <alignment horizontal="right" vertical="center"/>
    </xf>
    <xf numFmtId="165" fontId="15" fillId="4" borderId="6" applyAlignment="1" pivotButton="0" quotePrefix="0" xfId="0">
      <alignment horizontal="right" vertical="center"/>
    </xf>
    <xf numFmtId="0" fontId="15" fillId="10" borderId="6" applyAlignment="1" pivotButton="0" quotePrefix="0" xfId="0">
      <alignment horizontal="left" vertical="center"/>
    </xf>
    <xf numFmtId="164" fontId="15" fillId="10" borderId="6" applyAlignment="1" pivotButton="0" quotePrefix="0" xfId="0">
      <alignment horizontal="right" vertical="center"/>
    </xf>
    <xf numFmtId="2" fontId="15" fillId="10" borderId="6" applyAlignment="1" pivotButton="0" quotePrefix="0" xfId="0">
      <alignment horizontal="right" vertical="center"/>
    </xf>
    <xf numFmtId="166" fontId="15" fillId="10" borderId="6" applyAlignment="1" pivotButton="0" quotePrefix="0" xfId="0">
      <alignment horizontal="right" vertical="center"/>
    </xf>
    <xf numFmtId="2" fontId="15" fillId="7" borderId="6" applyAlignment="1" pivotButton="0" quotePrefix="0" xfId="0">
      <alignment horizontal="right" vertical="center"/>
    </xf>
    <xf numFmtId="166" fontId="15" fillId="7" borderId="6" applyAlignment="1" pivotButton="0" quotePrefix="0" xfId="0">
      <alignment horizontal="right" vertical="center"/>
    </xf>
    <xf numFmtId="0" fontId="15" fillId="11" borderId="6" applyAlignment="1" pivotButton="0" quotePrefix="0" xfId="0">
      <alignment horizontal="left" vertical="center"/>
    </xf>
    <xf numFmtId="2" fontId="15" fillId="11" borderId="6" applyAlignment="1" pivotButton="0" quotePrefix="0" xfId="0">
      <alignment horizontal="right" vertical="center"/>
    </xf>
    <xf numFmtId="165" fontId="15" fillId="11" borderId="6" applyAlignment="1" pivotButton="0" quotePrefix="0" xfId="0">
      <alignment horizontal="right" vertical="center"/>
    </xf>
    <xf numFmtId="0" fontId="15" fillId="6" borderId="6" applyAlignment="1" pivotButton="0" quotePrefix="0" xfId="0">
      <alignment horizontal="left" vertical="center"/>
    </xf>
    <xf numFmtId="2" fontId="15" fillId="6" borderId="6" applyAlignment="1" pivotButton="0" quotePrefix="0" xfId="0">
      <alignment horizontal="right" vertical="center"/>
    </xf>
    <xf numFmtId="165" fontId="15" fillId="6" borderId="6" applyAlignment="1" pivotButton="0" quotePrefix="0" xfId="0">
      <alignment horizontal="right" vertical="center"/>
    </xf>
    <xf numFmtId="2" fontId="15" fillId="4" borderId="6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left" vertical="center" wrapText="1"/>
    </xf>
    <xf numFmtId="0" fontId="15" fillId="12" borderId="6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Revenue: Budget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'📉 Trend Analysis'!B2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'📉 Trend Analysis'!$A$3:$A$14</f>
            </numRef>
          </cat>
          <val>
            <numRef>
              <f>'📉 Trend Analysis'!$B$3:$B$14</f>
            </numRef>
          </val>
        </ser>
        <ser>
          <idx val="1"/>
          <order val="1"/>
          <tx>
            <strRef>
              <f>'📉 Trend Analysis'!C2</f>
            </strRef>
          </tx>
          <spPr>
            <a:ln xmlns:a="http://schemas.openxmlformats.org/drawingml/2006/main">
              <a:solidFill>
                <a:srgbClr val="1E84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'📉 Trend Analysis'!$A$3:$A$14</f>
            </numRef>
          </cat>
          <val>
            <numRef>
              <f>'📉 Trend Analysis'!$C$3:$C$14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P1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50" customHeight="1">
      <c r="A1" s="1" t="inlineStr">
        <is>
          <t>CORPORATE FINANCIAL VARIANCE ANALYSIS &amp; REPORTING DASHBOARD  |  Asset Management Division  |  FY 2024</t>
        </is>
      </c>
    </row>
    <row r="2" ht="18" customHeight="1">
      <c r="A2" s="2" t="inlineStr">
        <is>
          <t>Reporting Period: January – December 2024  |  Currency: USD  |  Generated: 2024-07-01  |  Analyst: Financial Systems</t>
        </is>
      </c>
    </row>
    <row r="4" ht="20" customHeight="1">
      <c r="A4" s="3" t="inlineStr">
        <is>
          <t>TOTAL REVENUE (ACTUAL)</t>
        </is>
      </c>
      <c r="C4" s="4" t="inlineStr">
        <is>
          <t>REVENUE VARIANCE</t>
        </is>
      </c>
      <c r="E4" s="5" t="inlineStr">
        <is>
          <t>TOTAL EXPENSES (ACTUAL)</t>
        </is>
      </c>
      <c r="G4" s="4" t="inlineStr">
        <is>
          <t>EXPENSE VARIANCE</t>
        </is>
      </c>
      <c r="I4" s="6" t="inlineStr">
        <is>
          <t>NET INCOME (ACTUAL)</t>
        </is>
      </c>
      <c r="K4" s="7" t="inlineStr">
        <is>
          <t>NET MARGIN</t>
        </is>
      </c>
      <c r="M4" s="3" t="inlineStr">
        <is>
          <t>AUM TOTAL</t>
        </is>
      </c>
      <c r="N4" s="6" t="inlineStr">
        <is>
          <t>CLIENT COUNT</t>
        </is>
      </c>
      <c r="O4" s="7" t="inlineStr">
        <is>
          <t>MATCH RATE</t>
        </is>
      </c>
      <c r="P4" s="5" t="inlineStr">
        <is>
          <t>YTD ALPHA</t>
        </is>
      </c>
    </row>
    <row r="5" ht="20" customHeight="1">
      <c r="A5" s="8" t="n"/>
      <c r="C5" s="9" t="n"/>
      <c r="E5" s="10" t="n"/>
      <c r="G5" s="9" t="n"/>
      <c r="I5" s="9" t="n"/>
      <c r="K5" s="11" t="n"/>
      <c r="M5" s="8" t="n"/>
      <c r="N5" s="9" t="n"/>
      <c r="O5" s="11" t="n"/>
      <c r="P5" s="10" t="n"/>
    </row>
    <row r="6" ht="20" customHeight="1">
      <c r="A6" s="12" t="inlineStr">
        <is>
          <t>$890.0M</t>
        </is>
      </c>
      <c r="C6" s="13" t="inlineStr">
        <is>
          <t>$+3.7M</t>
        </is>
      </c>
      <c r="E6" s="14" t="inlineStr">
        <is>
          <t>$529.2M</t>
        </is>
      </c>
      <c r="G6" s="13" t="inlineStr">
        <is>
          <t>$-2.4M</t>
        </is>
      </c>
      <c r="I6" s="15" t="inlineStr">
        <is>
          <t>$360.8M</t>
        </is>
      </c>
      <c r="K6" s="16" t="inlineStr">
        <is>
          <t>40.5%</t>
        </is>
      </c>
      <c r="M6" s="17" t="inlineStr">
        <is>
          <t>$2.4T</t>
        </is>
      </c>
      <c r="N6" s="18" t="inlineStr">
        <is>
          <t>1,247</t>
        </is>
      </c>
      <c r="O6" s="19" t="inlineStr">
        <is>
          <t>94.2%</t>
        </is>
      </c>
      <c r="P6" s="20" t="inlineStr">
        <is>
          <t>2.8%</t>
        </is>
      </c>
    </row>
    <row r="7" ht="20" customHeight="1">
      <c r="M7" s="8" t="n"/>
      <c r="N7" s="9" t="n"/>
      <c r="O7" s="11" t="n"/>
      <c r="P7" s="10" t="n"/>
    </row>
    <row r="8" ht="20" customHeight="1">
      <c r="A8" s="8" t="n"/>
      <c r="C8" s="9" t="n"/>
      <c r="E8" s="10" t="n"/>
      <c r="G8" s="9" t="n"/>
      <c r="I8" s="9" t="n"/>
      <c r="K8" s="11" t="n"/>
      <c r="M8" s="8" t="n"/>
      <c r="N8" s="9" t="n"/>
      <c r="O8" s="11" t="n"/>
      <c r="P8" s="10" t="n"/>
    </row>
    <row r="10" ht="18" customHeight="1">
      <c r="A10" s="21" t="inlineStr">
        <is>
          <t>REGIONAL PERFORMANCE SUMMARY</t>
        </is>
      </c>
      <c r="B10" s="22" t="n"/>
      <c r="C10" s="22" t="n"/>
      <c r="D10" s="22" t="n"/>
      <c r="E10" s="22" t="n"/>
      <c r="F10" s="22" t="n"/>
      <c r="G10" s="22" t="n"/>
      <c r="H10" s="23" t="n"/>
      <c r="I10" s="21" t="inlineStr">
        <is>
          <t>SEGMENT PERFORMANCE SUMMARY</t>
        </is>
      </c>
      <c r="J10" s="22" t="n"/>
      <c r="K10" s="22" t="n"/>
      <c r="L10" s="22" t="n"/>
      <c r="M10" s="22" t="n"/>
      <c r="N10" s="22" t="n"/>
      <c r="O10" s="22" t="n"/>
      <c r="P10" s="23" t="n"/>
    </row>
    <row r="11" ht="18" customHeight="1">
      <c r="A11" s="24" t="inlineStr">
        <is>
          <t>Segment</t>
        </is>
      </c>
      <c r="B11" s="24" t="inlineStr">
        <is>
          <t>Rev Budget</t>
        </is>
      </c>
      <c r="C11" s="24" t="inlineStr">
        <is>
          <t>Rev Actual</t>
        </is>
      </c>
      <c r="D11" s="24" t="inlineStr">
        <is>
          <t>Variance $</t>
        </is>
      </c>
      <c r="E11" s="24" t="inlineStr">
        <is>
          <t>Var %</t>
        </is>
      </c>
      <c r="F11" s="24" t="inlineStr">
        <is>
          <t>NI Budget</t>
        </is>
      </c>
      <c r="G11" s="24" t="inlineStr">
        <is>
          <t>NI Actual</t>
        </is>
      </c>
      <c r="H11" s="24" t="inlineStr">
        <is>
          <t>NI Margin %</t>
        </is>
      </c>
    </row>
    <row r="12" ht="18" customHeight="1">
      <c r="A12" s="25" t="inlineStr">
        <is>
          <t>Equity Funds</t>
        </is>
      </c>
      <c r="B12" s="26" t="n">
        <v>190381261.24</v>
      </c>
      <c r="C12" s="26" t="n">
        <v>192282919.81</v>
      </c>
      <c r="D12" s="26" t="n">
        <v>1901658.569999993</v>
      </c>
      <c r="E12" s="27" t="n">
        <v>1</v>
      </c>
      <c r="F12" s="26" t="n">
        <v>74381033.70999999</v>
      </c>
      <c r="G12" s="26" t="n">
        <v>76860476.12</v>
      </c>
      <c r="H12" s="27" t="n">
        <v>39.97</v>
      </c>
    </row>
    <row r="13" ht="18" customHeight="1">
      <c r="A13" s="28" t="inlineStr">
        <is>
          <t>Fixed Income</t>
        </is>
      </c>
      <c r="B13" s="29" t="n">
        <v>172527606.72</v>
      </c>
      <c r="C13" s="29" t="n">
        <v>171886544.22</v>
      </c>
      <c r="D13" s="29" t="n">
        <v>-641062.5</v>
      </c>
      <c r="E13" s="30" t="n">
        <v>-0.37</v>
      </c>
      <c r="F13" s="29" t="n">
        <v>70610318.05</v>
      </c>
      <c r="G13" s="29" t="n">
        <v>70602269.5</v>
      </c>
      <c r="H13" s="30" t="n">
        <v>41.07</v>
      </c>
    </row>
    <row r="14" ht="18" customHeight="1">
      <c r="A14" s="25" t="inlineStr">
        <is>
          <t>Hedge Funds</t>
        </is>
      </c>
      <c r="B14" s="26" t="n">
        <v>168358901.06</v>
      </c>
      <c r="C14" s="26" t="n">
        <v>168323543.57</v>
      </c>
      <c r="D14" s="26" t="n">
        <v>-35357.49000000954</v>
      </c>
      <c r="E14" s="27" t="n">
        <v>-0.02</v>
      </c>
      <c r="F14" s="26" t="n">
        <v>68854067.56</v>
      </c>
      <c r="G14" s="26" t="n">
        <v>69903692.3</v>
      </c>
      <c r="H14" s="27" t="n">
        <v>41.53</v>
      </c>
    </row>
    <row r="15" ht="18" customHeight="1">
      <c r="A15" s="28" t="inlineStr">
        <is>
          <t>Private Equity</t>
        </is>
      </c>
      <c r="B15" s="29" t="n">
        <v>179249437.43</v>
      </c>
      <c r="C15" s="29" t="n">
        <v>180828203.91</v>
      </c>
      <c r="D15" s="29" t="n">
        <v>1578766.479999989</v>
      </c>
      <c r="E15" s="30" t="n">
        <v>0.88</v>
      </c>
      <c r="F15" s="29" t="n">
        <v>72250148.69</v>
      </c>
      <c r="G15" s="29" t="n">
        <v>74450464.86</v>
      </c>
      <c r="H15" s="30" t="n">
        <v>41.17</v>
      </c>
    </row>
    <row r="16" ht="18" customHeight="1">
      <c r="A16" s="25" t="inlineStr">
        <is>
          <t>Real Estate</t>
        </is>
      </c>
      <c r="B16" s="26" t="n">
        <v>175733923.42</v>
      </c>
      <c r="C16" s="26" t="n">
        <v>176669312.22</v>
      </c>
      <c r="D16" s="26" t="n">
        <v>935388.7999999821</v>
      </c>
      <c r="E16" s="27" t="n">
        <v>0.53</v>
      </c>
      <c r="F16" s="26" t="n">
        <v>68603959.48</v>
      </c>
      <c r="G16" s="26" t="n">
        <v>68976465.14</v>
      </c>
      <c r="H16" s="27" t="n">
        <v>39.04</v>
      </c>
    </row>
    <row r="17" ht="18" customHeight="1"/>
    <row r="18" ht="18" customHeight="1"/>
    <row r="19" ht="18" customHeight="1"/>
  </sheetData>
  <mergeCells count="28">
    <mergeCell ref="E6:F7"/>
    <mergeCell ref="G6:H7"/>
    <mergeCell ref="C5:D5"/>
    <mergeCell ref="E5:F5"/>
    <mergeCell ref="K5:L5"/>
    <mergeCell ref="G8:H8"/>
    <mergeCell ref="E8:F8"/>
    <mergeCell ref="C4:D4"/>
    <mergeCell ref="E4:F4"/>
    <mergeCell ref="C6:D7"/>
    <mergeCell ref="I6:J7"/>
    <mergeCell ref="A1:P1"/>
    <mergeCell ref="K8:L8"/>
    <mergeCell ref="K6:L7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A10:H10"/>
    <mergeCell ref="A6:B7"/>
    <mergeCell ref="I10:P10"/>
    <mergeCell ref="K4:L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R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31" t="inlineStr">
        <is>
          <t>BUDGET VS ACTUAL — FULL DETAIL FY2024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3" t="n"/>
    </row>
    <row r="2">
      <c r="A2" s="24" t="inlineStr">
        <is>
          <t>Month</t>
        </is>
      </c>
      <c r="B2" s="24" t="inlineStr">
        <is>
          <t>Month_Num</t>
        </is>
      </c>
      <c r="C2" s="24" t="inlineStr">
        <is>
          <t>Region</t>
        </is>
      </c>
      <c r="D2" s="24" t="inlineStr">
        <is>
          <t>Segment</t>
        </is>
      </c>
      <c r="E2" s="24" t="inlineStr">
        <is>
          <t>Revenue_Budget</t>
        </is>
      </c>
      <c r="F2" s="24" t="inlineStr">
        <is>
          <t>Revenue_Actual</t>
        </is>
      </c>
      <c r="G2" s="24" t="inlineStr">
        <is>
          <t>Expense_Budget</t>
        </is>
      </c>
      <c r="H2" s="24" t="inlineStr">
        <is>
          <t>Expense_Actual</t>
        </is>
      </c>
      <c r="I2" s="24" t="inlineStr">
        <is>
          <t>Year</t>
        </is>
      </c>
      <c r="J2" s="24" t="inlineStr">
        <is>
          <t>Revenue_Variance</t>
        </is>
      </c>
      <c r="K2" s="24" t="inlineStr">
        <is>
          <t>Revenue_Var_Pct</t>
        </is>
      </c>
      <c r="L2" s="24" t="inlineStr">
        <is>
          <t>Expense_Variance</t>
        </is>
      </c>
      <c r="M2" s="24" t="inlineStr">
        <is>
          <t>Expense_Var_Pct</t>
        </is>
      </c>
      <c r="N2" s="24" t="inlineStr">
        <is>
          <t>NetIncome_Budget</t>
        </is>
      </c>
      <c r="O2" s="24" t="inlineStr">
        <is>
          <t>NetIncome_Actual</t>
        </is>
      </c>
      <c r="P2" s="24" t="inlineStr">
        <is>
          <t>NetIncome_Variance</t>
        </is>
      </c>
      <c r="Q2" s="24" t="inlineStr">
        <is>
          <t>Margin_Budget</t>
        </is>
      </c>
      <c r="R2" s="24" t="inlineStr">
        <is>
          <t>Margin_Actual</t>
        </is>
      </c>
    </row>
    <row r="3">
      <c r="A3" s="28" t="inlineStr">
        <is>
          <t>Jan</t>
        </is>
      </c>
      <c r="B3" s="28" t="n">
        <v>1</v>
      </c>
      <c r="C3" s="28" t="inlineStr">
        <is>
          <t>North America</t>
        </is>
      </c>
      <c r="D3" s="28" t="inlineStr">
        <is>
          <t>Equity Funds</t>
        </is>
      </c>
      <c r="E3" s="29" t="n">
        <v>3328761.33</v>
      </c>
      <c r="F3" s="29" t="n">
        <v>3107633.64</v>
      </c>
      <c r="G3" s="29" t="n">
        <v>1670088.54</v>
      </c>
      <c r="H3" s="29" t="n">
        <v>1740913.45</v>
      </c>
      <c r="I3" s="28" t="n">
        <v>2024</v>
      </c>
      <c r="J3" s="32" t="n">
        <v>-221127.69</v>
      </c>
      <c r="K3" s="30" t="n">
        <v>-6.64</v>
      </c>
      <c r="L3" s="33" t="n">
        <v>70824.91</v>
      </c>
      <c r="M3" s="30" t="n">
        <v>4.24</v>
      </c>
      <c r="N3" s="29" t="n">
        <v>1658672.79</v>
      </c>
      <c r="O3" s="29" t="n">
        <v>1366720.19</v>
      </c>
      <c r="P3" s="32" t="n">
        <v>-291952.6</v>
      </c>
      <c r="Q3" s="30" t="n">
        <v>49.83</v>
      </c>
      <c r="R3" s="30" t="n">
        <v>43.98</v>
      </c>
    </row>
    <row r="4">
      <c r="A4" s="25" t="inlineStr">
        <is>
          <t>Jan</t>
        </is>
      </c>
      <c r="B4" s="25" t="n">
        <v>1</v>
      </c>
      <c r="C4" s="25" t="inlineStr">
        <is>
          <t>North America</t>
        </is>
      </c>
      <c r="D4" s="25" t="inlineStr">
        <is>
          <t>Fixed Income</t>
        </is>
      </c>
      <c r="E4" s="26" t="n">
        <v>4476147.48</v>
      </c>
      <c r="F4" s="26" t="n">
        <v>3971020.2</v>
      </c>
      <c r="G4" s="26" t="n">
        <v>2042997.23</v>
      </c>
      <c r="H4" s="26" t="n">
        <v>2045623.03</v>
      </c>
      <c r="I4" s="25" t="n">
        <v>2024</v>
      </c>
      <c r="J4" s="32" t="n">
        <v>-505127.28</v>
      </c>
      <c r="K4" s="27" t="n">
        <v>-11.28</v>
      </c>
      <c r="L4" s="33" t="n">
        <v>2625.8</v>
      </c>
      <c r="M4" s="27" t="n">
        <v>0.13</v>
      </c>
      <c r="N4" s="26" t="n">
        <v>2433150.25</v>
      </c>
      <c r="O4" s="26" t="n">
        <v>1925397.17</v>
      </c>
      <c r="P4" s="32" t="n">
        <v>-507753.08</v>
      </c>
      <c r="Q4" s="27" t="n">
        <v>54.36</v>
      </c>
      <c r="R4" s="27" t="n">
        <v>48.49</v>
      </c>
    </row>
    <row r="5">
      <c r="A5" s="28" t="inlineStr">
        <is>
          <t>Jan</t>
        </is>
      </c>
      <c r="B5" s="28" t="n">
        <v>1</v>
      </c>
      <c r="C5" s="28" t="inlineStr">
        <is>
          <t>North America</t>
        </is>
      </c>
      <c r="D5" s="28" t="inlineStr">
        <is>
          <t>Real Estate</t>
        </is>
      </c>
      <c r="E5" s="29" t="n">
        <v>938773.54</v>
      </c>
      <c r="F5" s="29" t="n">
        <v>948899.11</v>
      </c>
      <c r="G5" s="29" t="n">
        <v>438549.91</v>
      </c>
      <c r="H5" s="29" t="n">
        <v>447945.3</v>
      </c>
      <c r="I5" s="28" t="n">
        <v>2024</v>
      </c>
      <c r="J5" s="33" t="n">
        <v>10125.57</v>
      </c>
      <c r="K5" s="30" t="n">
        <v>1.08</v>
      </c>
      <c r="L5" s="33" t="n">
        <v>9395.389999999999</v>
      </c>
      <c r="M5" s="30" t="n">
        <v>2.14</v>
      </c>
      <c r="N5" s="29" t="n">
        <v>500223.63</v>
      </c>
      <c r="O5" s="29" t="n">
        <v>500953.81</v>
      </c>
      <c r="P5" s="33" t="n">
        <v>730.1799999999999</v>
      </c>
      <c r="Q5" s="30" t="n">
        <v>53.28</v>
      </c>
      <c r="R5" s="30" t="n">
        <v>52.79</v>
      </c>
    </row>
    <row r="6">
      <c r="A6" s="25" t="inlineStr">
        <is>
          <t>Jan</t>
        </is>
      </c>
      <c r="B6" s="25" t="n">
        <v>1</v>
      </c>
      <c r="C6" s="25" t="inlineStr">
        <is>
          <t>North America</t>
        </is>
      </c>
      <c r="D6" s="25" t="inlineStr">
        <is>
          <t>Hedge Funds</t>
        </is>
      </c>
      <c r="E6" s="26" t="n">
        <v>4456472.11</v>
      </c>
      <c r="F6" s="26" t="n">
        <v>4668392.76</v>
      </c>
      <c r="G6" s="26" t="n">
        <v>1837369.97</v>
      </c>
      <c r="H6" s="26" t="n">
        <v>1685447.18</v>
      </c>
      <c r="I6" s="25" t="n">
        <v>2024</v>
      </c>
      <c r="J6" s="33" t="n">
        <v>211920.65</v>
      </c>
      <c r="K6" s="27" t="n">
        <v>4.76</v>
      </c>
      <c r="L6" s="32" t="n">
        <v>-151922.79</v>
      </c>
      <c r="M6" s="27" t="n">
        <v>-8.27</v>
      </c>
      <c r="N6" s="26" t="n">
        <v>2619102.14</v>
      </c>
      <c r="O6" s="26" t="n">
        <v>2982945.58</v>
      </c>
      <c r="P6" s="33" t="n">
        <v>363843.44</v>
      </c>
      <c r="Q6" s="27" t="n">
        <v>58.77</v>
      </c>
      <c r="R6" s="27" t="n">
        <v>63.9</v>
      </c>
    </row>
    <row r="7">
      <c r="A7" s="28" t="inlineStr">
        <is>
          <t>Jan</t>
        </is>
      </c>
      <c r="B7" s="28" t="n">
        <v>1</v>
      </c>
      <c r="C7" s="28" t="inlineStr">
        <is>
          <t>North America</t>
        </is>
      </c>
      <c r="D7" s="28" t="inlineStr">
        <is>
          <t>Private Equity</t>
        </is>
      </c>
      <c r="E7" s="29" t="n">
        <v>4427677.88</v>
      </c>
      <c r="F7" s="29" t="n">
        <v>3999131.49</v>
      </c>
      <c r="G7" s="29" t="n">
        <v>2840458.74</v>
      </c>
      <c r="H7" s="29" t="n">
        <v>2911169.82</v>
      </c>
      <c r="I7" s="28" t="n">
        <v>2024</v>
      </c>
      <c r="J7" s="32" t="n">
        <v>-428546.39</v>
      </c>
      <c r="K7" s="30" t="n">
        <v>-9.68</v>
      </c>
      <c r="L7" s="33" t="n">
        <v>70711.08</v>
      </c>
      <c r="M7" s="30" t="n">
        <v>2.49</v>
      </c>
      <c r="N7" s="29" t="n">
        <v>1587219.14</v>
      </c>
      <c r="O7" s="29" t="n">
        <v>1087961.67</v>
      </c>
      <c r="P7" s="32" t="n">
        <v>-499257.47</v>
      </c>
      <c r="Q7" s="30" t="n">
        <v>35.85</v>
      </c>
      <c r="R7" s="30" t="n">
        <v>27.2</v>
      </c>
    </row>
    <row r="8">
      <c r="A8" s="25" t="inlineStr">
        <is>
          <t>Jan</t>
        </is>
      </c>
      <c r="B8" s="25" t="n">
        <v>1</v>
      </c>
      <c r="C8" s="25" t="inlineStr">
        <is>
          <t>Europe</t>
        </is>
      </c>
      <c r="D8" s="25" t="inlineStr">
        <is>
          <t>Equity Funds</t>
        </is>
      </c>
      <c r="E8" s="26" t="n">
        <v>4220297.44</v>
      </c>
      <c r="F8" s="26" t="n">
        <v>4699502.86</v>
      </c>
      <c r="G8" s="26" t="n">
        <v>2734644.77</v>
      </c>
      <c r="H8" s="26" t="n">
        <v>2768799.8</v>
      </c>
      <c r="I8" s="25" t="n">
        <v>2024</v>
      </c>
      <c r="J8" s="33" t="n">
        <v>479205.42</v>
      </c>
      <c r="K8" s="27" t="n">
        <v>11.35</v>
      </c>
      <c r="L8" s="33" t="n">
        <v>34155.03</v>
      </c>
      <c r="M8" s="27" t="n">
        <v>1.25</v>
      </c>
      <c r="N8" s="26" t="n">
        <v>1485652.67</v>
      </c>
      <c r="O8" s="26" t="n">
        <v>1930703.06</v>
      </c>
      <c r="P8" s="33" t="n">
        <v>445050.39</v>
      </c>
      <c r="Q8" s="27" t="n">
        <v>35.2</v>
      </c>
      <c r="R8" s="27" t="n">
        <v>41.08</v>
      </c>
    </row>
    <row r="9">
      <c r="A9" s="28" t="inlineStr">
        <is>
          <t>Jan</t>
        </is>
      </c>
      <c r="B9" s="28" t="n">
        <v>1</v>
      </c>
      <c r="C9" s="28" t="inlineStr">
        <is>
          <t>Europe</t>
        </is>
      </c>
      <c r="D9" s="28" t="inlineStr">
        <is>
          <t>Fixed Income</t>
        </is>
      </c>
      <c r="E9" s="29" t="n">
        <v>4593373.86</v>
      </c>
      <c r="F9" s="29" t="n">
        <v>4678647.62</v>
      </c>
      <c r="G9" s="29" t="n">
        <v>2833788.97</v>
      </c>
      <c r="H9" s="29" t="n">
        <v>2524899.89</v>
      </c>
      <c r="I9" s="28" t="n">
        <v>2024</v>
      </c>
      <c r="J9" s="33" t="n">
        <v>85273.75999999999</v>
      </c>
      <c r="K9" s="30" t="n">
        <v>1.86</v>
      </c>
      <c r="L9" s="32" t="n">
        <v>-308889.08</v>
      </c>
      <c r="M9" s="30" t="n">
        <v>-10.9</v>
      </c>
      <c r="N9" s="29" t="n">
        <v>1759584.89</v>
      </c>
      <c r="O9" s="29" t="n">
        <v>2153747.73</v>
      </c>
      <c r="P9" s="33" t="n">
        <v>394162.84</v>
      </c>
      <c r="Q9" s="30" t="n">
        <v>38.31</v>
      </c>
      <c r="R9" s="30" t="n">
        <v>46.03</v>
      </c>
    </row>
    <row r="10">
      <c r="A10" s="25" t="inlineStr">
        <is>
          <t>Jan</t>
        </is>
      </c>
      <c r="B10" s="25" t="n">
        <v>1</v>
      </c>
      <c r="C10" s="25" t="inlineStr">
        <is>
          <t>Europe</t>
        </is>
      </c>
      <c r="D10" s="25" t="inlineStr">
        <is>
          <t>Real Estate</t>
        </is>
      </c>
      <c r="E10" s="26" t="n">
        <v>1609497.14</v>
      </c>
      <c r="F10" s="26" t="n">
        <v>1506279.79</v>
      </c>
      <c r="G10" s="26" t="n">
        <v>868005.73</v>
      </c>
      <c r="H10" s="26" t="n">
        <v>821752.89</v>
      </c>
      <c r="I10" s="25" t="n">
        <v>2024</v>
      </c>
      <c r="J10" s="32" t="n">
        <v>-103217.35</v>
      </c>
      <c r="K10" s="27" t="n">
        <v>-6.41</v>
      </c>
      <c r="L10" s="32" t="n">
        <v>-46252.84</v>
      </c>
      <c r="M10" s="27" t="n">
        <v>-5.33</v>
      </c>
      <c r="N10" s="26" t="n">
        <v>741491.41</v>
      </c>
      <c r="O10" s="26" t="n">
        <v>684526.9</v>
      </c>
      <c r="P10" s="32" t="n">
        <v>-56964.51</v>
      </c>
      <c r="Q10" s="27" t="n">
        <v>46.07</v>
      </c>
      <c r="R10" s="27" t="n">
        <v>45.44</v>
      </c>
    </row>
    <row r="11">
      <c r="A11" s="28" t="inlineStr">
        <is>
          <t>Jan</t>
        </is>
      </c>
      <c r="B11" s="28" t="n">
        <v>1</v>
      </c>
      <c r="C11" s="28" t="inlineStr">
        <is>
          <t>Europe</t>
        </is>
      </c>
      <c r="D11" s="28" t="inlineStr">
        <is>
          <t>Hedge Funds</t>
        </is>
      </c>
      <c r="E11" s="29" t="n">
        <v>3379783.51</v>
      </c>
      <c r="F11" s="29" t="n">
        <v>3144150.71</v>
      </c>
      <c r="G11" s="29" t="n">
        <v>1850750.71</v>
      </c>
      <c r="H11" s="29" t="n">
        <v>2044704.02</v>
      </c>
      <c r="I11" s="28" t="n">
        <v>2024</v>
      </c>
      <c r="J11" s="32" t="n">
        <v>-235632.8</v>
      </c>
      <c r="K11" s="30" t="n">
        <v>-6.97</v>
      </c>
      <c r="L11" s="33" t="n">
        <v>193953.31</v>
      </c>
      <c r="M11" s="30" t="n">
        <v>10.48</v>
      </c>
      <c r="N11" s="29" t="n">
        <v>1529032.8</v>
      </c>
      <c r="O11" s="29" t="n">
        <v>1099446.69</v>
      </c>
      <c r="P11" s="32" t="n">
        <v>-429586.11</v>
      </c>
      <c r="Q11" s="30" t="n">
        <v>45.24</v>
      </c>
      <c r="R11" s="30" t="n">
        <v>34.97</v>
      </c>
    </row>
    <row r="12">
      <c r="A12" s="25" t="inlineStr">
        <is>
          <t>Jan</t>
        </is>
      </c>
      <c r="B12" s="25" t="n">
        <v>1</v>
      </c>
      <c r="C12" s="25" t="inlineStr">
        <is>
          <t>Europe</t>
        </is>
      </c>
      <c r="D12" s="25" t="inlineStr">
        <is>
          <t>Private Equity</t>
        </is>
      </c>
      <c r="E12" s="26" t="n">
        <v>3290115.22</v>
      </c>
      <c r="F12" s="26" t="n">
        <v>3471040.08</v>
      </c>
      <c r="G12" s="26" t="n">
        <v>2078337.43</v>
      </c>
      <c r="H12" s="26" t="n">
        <v>2018209.69</v>
      </c>
      <c r="I12" s="25" t="n">
        <v>2024</v>
      </c>
      <c r="J12" s="33" t="n">
        <v>180924.86</v>
      </c>
      <c r="K12" s="27" t="n">
        <v>5.5</v>
      </c>
      <c r="L12" s="32" t="n">
        <v>-60127.74</v>
      </c>
      <c r="M12" s="27" t="n">
        <v>-2.89</v>
      </c>
      <c r="N12" s="26" t="n">
        <v>1211777.79</v>
      </c>
      <c r="O12" s="26" t="n">
        <v>1452830.39</v>
      </c>
      <c r="P12" s="33" t="n">
        <v>241052.6</v>
      </c>
      <c r="Q12" s="27" t="n">
        <v>36.83</v>
      </c>
      <c r="R12" s="27" t="n">
        <v>41.86</v>
      </c>
    </row>
    <row r="13">
      <c r="A13" s="28" t="inlineStr">
        <is>
          <t>Jan</t>
        </is>
      </c>
      <c r="B13" s="28" t="n">
        <v>1</v>
      </c>
      <c r="C13" s="28" t="inlineStr">
        <is>
          <t>Asia Pacific</t>
        </is>
      </c>
      <c r="D13" s="28" t="inlineStr">
        <is>
          <t>Equity Funds</t>
        </is>
      </c>
      <c r="E13" s="29" t="n">
        <v>5012446.64</v>
      </c>
      <c r="F13" s="29" t="n">
        <v>5234535.22</v>
      </c>
      <c r="G13" s="29" t="n">
        <v>3399924.25</v>
      </c>
      <c r="H13" s="29" t="n">
        <v>3625135.16</v>
      </c>
      <c r="I13" s="28" t="n">
        <v>2024</v>
      </c>
      <c r="J13" s="33" t="n">
        <v>222088.58</v>
      </c>
      <c r="K13" s="30" t="n">
        <v>4.43</v>
      </c>
      <c r="L13" s="33" t="n">
        <v>225210.91</v>
      </c>
      <c r="M13" s="30" t="n">
        <v>6.62</v>
      </c>
      <c r="N13" s="29" t="n">
        <v>1612522.39</v>
      </c>
      <c r="O13" s="29" t="n">
        <v>1609400.06</v>
      </c>
      <c r="P13" s="32" t="n">
        <v>-3122.33</v>
      </c>
      <c r="Q13" s="30" t="n">
        <v>32.17</v>
      </c>
      <c r="R13" s="30" t="n">
        <v>30.75</v>
      </c>
    </row>
    <row r="14">
      <c r="A14" s="25" t="inlineStr">
        <is>
          <t>Jan</t>
        </is>
      </c>
      <c r="B14" s="25" t="n">
        <v>1</v>
      </c>
      <c r="C14" s="25" t="inlineStr">
        <is>
          <t>Asia Pacific</t>
        </is>
      </c>
      <c r="D14" s="25" t="inlineStr">
        <is>
          <t>Fixed Income</t>
        </is>
      </c>
      <c r="E14" s="26" t="n">
        <v>1696967.49</v>
      </c>
      <c r="F14" s="26" t="n">
        <v>1602374.81</v>
      </c>
      <c r="G14" s="26" t="n">
        <v>763055.85</v>
      </c>
      <c r="H14" s="26" t="n">
        <v>844167.41</v>
      </c>
      <c r="I14" s="25" t="n">
        <v>2024</v>
      </c>
      <c r="J14" s="32" t="n">
        <v>-94592.67999999999</v>
      </c>
      <c r="K14" s="27" t="n">
        <v>-5.57</v>
      </c>
      <c r="L14" s="33" t="n">
        <v>81111.56</v>
      </c>
      <c r="M14" s="27" t="n">
        <v>10.63</v>
      </c>
      <c r="N14" s="26" t="n">
        <v>933911.64</v>
      </c>
      <c r="O14" s="26" t="n">
        <v>758207.4</v>
      </c>
      <c r="P14" s="32" t="n">
        <v>-175704.24</v>
      </c>
      <c r="Q14" s="27" t="n">
        <v>55.03</v>
      </c>
      <c r="R14" s="27" t="n">
        <v>47.32</v>
      </c>
    </row>
    <row r="15">
      <c r="A15" s="28" t="inlineStr">
        <is>
          <t>Jan</t>
        </is>
      </c>
      <c r="B15" s="28" t="n">
        <v>1</v>
      </c>
      <c r="C15" s="28" t="inlineStr">
        <is>
          <t>Asia Pacific</t>
        </is>
      </c>
      <c r="D15" s="28" t="inlineStr">
        <is>
          <t>Real Estate</t>
        </is>
      </c>
      <c r="E15" s="29" t="n">
        <v>4620040.21</v>
      </c>
      <c r="F15" s="29" t="n">
        <v>4504315.85</v>
      </c>
      <c r="G15" s="29" t="n">
        <v>2641575.98</v>
      </c>
      <c r="H15" s="29" t="n">
        <v>2615488.95</v>
      </c>
      <c r="I15" s="28" t="n">
        <v>2024</v>
      </c>
      <c r="J15" s="32" t="n">
        <v>-115724.36</v>
      </c>
      <c r="K15" s="30" t="n">
        <v>-2.5</v>
      </c>
      <c r="L15" s="32" t="n">
        <v>-26087.03</v>
      </c>
      <c r="M15" s="30" t="n">
        <v>-0.99</v>
      </c>
      <c r="N15" s="29" t="n">
        <v>1978464.23</v>
      </c>
      <c r="O15" s="29" t="n">
        <v>1888826.9</v>
      </c>
      <c r="P15" s="32" t="n">
        <v>-89637.33</v>
      </c>
      <c r="Q15" s="30" t="n">
        <v>42.82</v>
      </c>
      <c r="R15" s="30" t="n">
        <v>41.93</v>
      </c>
    </row>
    <row r="16">
      <c r="A16" s="25" t="inlineStr">
        <is>
          <t>Jan</t>
        </is>
      </c>
      <c r="B16" s="25" t="n">
        <v>1</v>
      </c>
      <c r="C16" s="25" t="inlineStr">
        <is>
          <t>Asia Pacific</t>
        </is>
      </c>
      <c r="D16" s="25" t="inlineStr">
        <is>
          <t>Hedge Funds</t>
        </is>
      </c>
      <c r="E16" s="26" t="n">
        <v>1935969.97</v>
      </c>
      <c r="F16" s="26" t="n">
        <v>1825731.94</v>
      </c>
      <c r="G16" s="26" t="n">
        <v>1019078.96</v>
      </c>
      <c r="H16" s="26" t="n">
        <v>1116378.06</v>
      </c>
      <c r="I16" s="25" t="n">
        <v>2024</v>
      </c>
      <c r="J16" s="32" t="n">
        <v>-110238.03</v>
      </c>
      <c r="K16" s="27" t="n">
        <v>-5.69</v>
      </c>
      <c r="L16" s="33" t="n">
        <v>97299.10000000001</v>
      </c>
      <c r="M16" s="27" t="n">
        <v>9.550000000000001</v>
      </c>
      <c r="N16" s="26" t="n">
        <v>916891.01</v>
      </c>
      <c r="O16" s="26" t="n">
        <v>709353.88</v>
      </c>
      <c r="P16" s="32" t="n">
        <v>-207537.13</v>
      </c>
      <c r="Q16" s="27" t="n">
        <v>47.36</v>
      </c>
      <c r="R16" s="27" t="n">
        <v>38.85</v>
      </c>
    </row>
    <row r="17">
      <c r="A17" s="28" t="inlineStr">
        <is>
          <t>Jan</t>
        </is>
      </c>
      <c r="B17" s="28" t="n">
        <v>1</v>
      </c>
      <c r="C17" s="28" t="inlineStr">
        <is>
          <t>Asia Pacific</t>
        </is>
      </c>
      <c r="D17" s="28" t="inlineStr">
        <is>
          <t>Private Equity</t>
        </is>
      </c>
      <c r="E17" s="29" t="n">
        <v>2724010.23</v>
      </c>
      <c r="F17" s="29" t="n">
        <v>2730238.16</v>
      </c>
      <c r="G17" s="29" t="n">
        <v>1173322.53</v>
      </c>
      <c r="H17" s="29" t="n">
        <v>1045791.68</v>
      </c>
      <c r="I17" s="28" t="n">
        <v>2024</v>
      </c>
      <c r="J17" s="33" t="n">
        <v>6227.93</v>
      </c>
      <c r="K17" s="30" t="n">
        <v>0.23</v>
      </c>
      <c r="L17" s="32" t="n">
        <v>-127530.85</v>
      </c>
      <c r="M17" s="30" t="n">
        <v>-10.87</v>
      </c>
      <c r="N17" s="29" t="n">
        <v>1550687.7</v>
      </c>
      <c r="O17" s="29" t="n">
        <v>1684446.48</v>
      </c>
      <c r="P17" s="33" t="n">
        <v>133758.78</v>
      </c>
      <c r="Q17" s="30" t="n">
        <v>56.93</v>
      </c>
      <c r="R17" s="30" t="n">
        <v>61.7</v>
      </c>
    </row>
    <row r="18">
      <c r="A18" s="25" t="inlineStr">
        <is>
          <t>Jan</t>
        </is>
      </c>
      <c r="B18" s="25" t="n">
        <v>1</v>
      </c>
      <c r="C18" s="25" t="inlineStr">
        <is>
          <t>Latin America</t>
        </is>
      </c>
      <c r="D18" s="25" t="inlineStr">
        <is>
          <t>Equity Funds</t>
        </is>
      </c>
      <c r="E18" s="26" t="n">
        <v>1334161.09</v>
      </c>
      <c r="F18" s="26" t="n">
        <v>1309236.82</v>
      </c>
      <c r="G18" s="26" t="n">
        <v>734281.22</v>
      </c>
      <c r="H18" s="26" t="n">
        <v>713419.28</v>
      </c>
      <c r="I18" s="25" t="n">
        <v>2024</v>
      </c>
      <c r="J18" s="32" t="n">
        <v>-24924.27</v>
      </c>
      <c r="K18" s="27" t="n">
        <v>-1.87</v>
      </c>
      <c r="L18" s="32" t="n">
        <v>-20861.94</v>
      </c>
      <c r="M18" s="27" t="n">
        <v>-2.84</v>
      </c>
      <c r="N18" s="26" t="n">
        <v>599879.87</v>
      </c>
      <c r="O18" s="26" t="n">
        <v>595817.54</v>
      </c>
      <c r="P18" s="32" t="n">
        <v>-4062.33</v>
      </c>
      <c r="Q18" s="27" t="n">
        <v>44.96</v>
      </c>
      <c r="R18" s="27" t="n">
        <v>45.51</v>
      </c>
    </row>
    <row r="19">
      <c r="A19" s="28" t="inlineStr">
        <is>
          <t>Jan</t>
        </is>
      </c>
      <c r="B19" s="28" t="n">
        <v>1</v>
      </c>
      <c r="C19" s="28" t="inlineStr">
        <is>
          <t>Latin America</t>
        </is>
      </c>
      <c r="D19" s="28" t="inlineStr">
        <is>
          <t>Fixed Income</t>
        </is>
      </c>
      <c r="E19" s="29" t="n">
        <v>5453253.38</v>
      </c>
      <c r="F19" s="29" t="n">
        <v>5925434.93</v>
      </c>
      <c r="G19" s="29" t="n">
        <v>2737345.72</v>
      </c>
      <c r="H19" s="29" t="n">
        <v>2882351.78</v>
      </c>
      <c r="I19" s="28" t="n">
        <v>2024</v>
      </c>
      <c r="J19" s="33" t="n">
        <v>472181.55</v>
      </c>
      <c r="K19" s="30" t="n">
        <v>8.66</v>
      </c>
      <c r="L19" s="33" t="n">
        <v>145006.06</v>
      </c>
      <c r="M19" s="30" t="n">
        <v>5.3</v>
      </c>
      <c r="N19" s="29" t="n">
        <v>2715907.66</v>
      </c>
      <c r="O19" s="29" t="n">
        <v>3043083.15</v>
      </c>
      <c r="P19" s="33" t="n">
        <v>327175.49</v>
      </c>
      <c r="Q19" s="30" t="n">
        <v>49.8</v>
      </c>
      <c r="R19" s="30" t="n">
        <v>51.36</v>
      </c>
    </row>
    <row r="20">
      <c r="A20" s="25" t="inlineStr">
        <is>
          <t>Jan</t>
        </is>
      </c>
      <c r="B20" s="25" t="n">
        <v>1</v>
      </c>
      <c r="C20" s="25" t="inlineStr">
        <is>
          <t>Latin America</t>
        </is>
      </c>
      <c r="D20" s="25" t="inlineStr">
        <is>
          <t>Real Estate</t>
        </is>
      </c>
      <c r="E20" s="26" t="n">
        <v>3492351.12</v>
      </c>
      <c r="F20" s="26" t="n">
        <v>3610500.26</v>
      </c>
      <c r="G20" s="26" t="n">
        <v>2064627.75</v>
      </c>
      <c r="H20" s="26" t="n">
        <v>2032303.24</v>
      </c>
      <c r="I20" s="25" t="n">
        <v>2024</v>
      </c>
      <c r="J20" s="33" t="n">
        <v>118149.14</v>
      </c>
      <c r="K20" s="27" t="n">
        <v>3.38</v>
      </c>
      <c r="L20" s="32" t="n">
        <v>-32324.51</v>
      </c>
      <c r="M20" s="27" t="n">
        <v>-1.57</v>
      </c>
      <c r="N20" s="26" t="n">
        <v>1427723.37</v>
      </c>
      <c r="O20" s="26" t="n">
        <v>1578197.02</v>
      </c>
      <c r="P20" s="33" t="n">
        <v>150473.65</v>
      </c>
      <c r="Q20" s="27" t="n">
        <v>40.88</v>
      </c>
      <c r="R20" s="27" t="n">
        <v>43.71</v>
      </c>
    </row>
    <row r="21">
      <c r="A21" s="28" t="inlineStr">
        <is>
          <t>Jan</t>
        </is>
      </c>
      <c r="B21" s="28" t="n">
        <v>1</v>
      </c>
      <c r="C21" s="28" t="inlineStr">
        <is>
          <t>Latin America</t>
        </is>
      </c>
      <c r="D21" s="28" t="inlineStr">
        <is>
          <t>Hedge Funds</t>
        </is>
      </c>
      <c r="E21" s="29" t="n">
        <v>2909024.08</v>
      </c>
      <c r="F21" s="29" t="n">
        <v>2743830.41</v>
      </c>
      <c r="G21" s="29" t="n">
        <v>1991975.92</v>
      </c>
      <c r="H21" s="29" t="n">
        <v>1838347.67</v>
      </c>
      <c r="I21" s="28" t="n">
        <v>2024</v>
      </c>
      <c r="J21" s="32" t="n">
        <v>-165193.67</v>
      </c>
      <c r="K21" s="30" t="n">
        <v>-5.68</v>
      </c>
      <c r="L21" s="32" t="n">
        <v>-153628.25</v>
      </c>
      <c r="M21" s="30" t="n">
        <v>-7.71</v>
      </c>
      <c r="N21" s="29" t="n">
        <v>917048.16</v>
      </c>
      <c r="O21" s="29" t="n">
        <v>905482.74</v>
      </c>
      <c r="P21" s="32" t="n">
        <v>-11565.42</v>
      </c>
      <c r="Q21" s="30" t="n">
        <v>31.52</v>
      </c>
      <c r="R21" s="30" t="n">
        <v>33</v>
      </c>
    </row>
    <row r="22">
      <c r="A22" s="25" t="inlineStr">
        <is>
          <t>Jan</t>
        </is>
      </c>
      <c r="B22" s="25" t="n">
        <v>1</v>
      </c>
      <c r="C22" s="25" t="inlineStr">
        <is>
          <t>Latin America</t>
        </is>
      </c>
      <c r="D22" s="25" t="inlineStr">
        <is>
          <t>Private Equity</t>
        </is>
      </c>
      <c r="E22" s="26" t="n">
        <v>4446274.38</v>
      </c>
      <c r="F22" s="26" t="n">
        <v>4594548.2</v>
      </c>
      <c r="G22" s="26" t="n">
        <v>3366617.25</v>
      </c>
      <c r="H22" s="26" t="n">
        <v>3086115.5</v>
      </c>
      <c r="I22" s="25" t="n">
        <v>2024</v>
      </c>
      <c r="J22" s="33" t="n">
        <v>148273.82</v>
      </c>
      <c r="K22" s="27" t="n">
        <v>3.33</v>
      </c>
      <c r="L22" s="32" t="n">
        <v>-280501.75</v>
      </c>
      <c r="M22" s="27" t="n">
        <v>-8.33</v>
      </c>
      <c r="N22" s="26" t="n">
        <v>1079657.13</v>
      </c>
      <c r="O22" s="26" t="n">
        <v>1508432.7</v>
      </c>
      <c r="P22" s="33" t="n">
        <v>428775.57</v>
      </c>
      <c r="Q22" s="27" t="n">
        <v>24.28</v>
      </c>
      <c r="R22" s="27" t="n">
        <v>32.83</v>
      </c>
    </row>
    <row r="23">
      <c r="A23" s="28" t="inlineStr">
        <is>
          <t>Jan</t>
        </is>
      </c>
      <c r="B23" s="28" t="n">
        <v>1</v>
      </c>
      <c r="C23" s="28" t="inlineStr">
        <is>
          <t>Middle East</t>
        </is>
      </c>
      <c r="D23" s="28" t="inlineStr">
        <is>
          <t>Equity Funds</t>
        </is>
      </c>
      <c r="E23" s="29" t="n">
        <v>4225588.38</v>
      </c>
      <c r="F23" s="29" t="n">
        <v>4256371.29</v>
      </c>
      <c r="G23" s="29" t="n">
        <v>2204211</v>
      </c>
      <c r="H23" s="29" t="n">
        <v>2111187.68</v>
      </c>
      <c r="I23" s="28" t="n">
        <v>2024</v>
      </c>
      <c r="J23" s="33" t="n">
        <v>30782.91</v>
      </c>
      <c r="K23" s="30" t="n">
        <v>0.73</v>
      </c>
      <c r="L23" s="32" t="n">
        <v>-93023.32000000001</v>
      </c>
      <c r="M23" s="30" t="n">
        <v>-4.22</v>
      </c>
      <c r="N23" s="29" t="n">
        <v>2021377.38</v>
      </c>
      <c r="O23" s="29" t="n">
        <v>2145183.61</v>
      </c>
      <c r="P23" s="33" t="n">
        <v>123806.23</v>
      </c>
      <c r="Q23" s="30" t="n">
        <v>47.84</v>
      </c>
      <c r="R23" s="30" t="n">
        <v>50.4</v>
      </c>
    </row>
    <row r="24">
      <c r="A24" s="25" t="inlineStr">
        <is>
          <t>Jan</t>
        </is>
      </c>
      <c r="B24" s="25" t="n">
        <v>1</v>
      </c>
      <c r="C24" s="25" t="inlineStr">
        <is>
          <t>Middle East</t>
        </is>
      </c>
      <c r="D24" s="25" t="inlineStr">
        <is>
          <t>Fixed Income</t>
        </is>
      </c>
      <c r="E24" s="26" t="n">
        <v>948593.88</v>
      </c>
      <c r="F24" s="26" t="n">
        <v>1024101.69</v>
      </c>
      <c r="G24" s="26" t="n">
        <v>617857.33</v>
      </c>
      <c r="H24" s="26" t="n">
        <v>552303.9300000001</v>
      </c>
      <c r="I24" s="25" t="n">
        <v>2024</v>
      </c>
      <c r="J24" s="33" t="n">
        <v>75507.81</v>
      </c>
      <c r="K24" s="27" t="n">
        <v>7.96</v>
      </c>
      <c r="L24" s="32" t="n">
        <v>-65553.39999999999</v>
      </c>
      <c r="M24" s="27" t="n">
        <v>-10.61</v>
      </c>
      <c r="N24" s="26" t="n">
        <v>330736.55</v>
      </c>
      <c r="O24" s="26" t="n">
        <v>471797.76</v>
      </c>
      <c r="P24" s="33" t="n">
        <v>141061.21</v>
      </c>
      <c r="Q24" s="27" t="n">
        <v>34.87</v>
      </c>
      <c r="R24" s="27" t="n">
        <v>46.07</v>
      </c>
    </row>
    <row r="25">
      <c r="A25" s="28" t="inlineStr">
        <is>
          <t>Jan</t>
        </is>
      </c>
      <c r="B25" s="28" t="n">
        <v>1</v>
      </c>
      <c r="C25" s="28" t="inlineStr">
        <is>
          <t>Middle East</t>
        </is>
      </c>
      <c r="D25" s="28" t="inlineStr">
        <is>
          <t>Real Estate</t>
        </is>
      </c>
      <c r="E25" s="29" t="n">
        <v>4115752.66</v>
      </c>
      <c r="F25" s="29" t="n">
        <v>4101914.31</v>
      </c>
      <c r="G25" s="29" t="n">
        <v>3010479.31</v>
      </c>
      <c r="H25" s="29" t="n">
        <v>3198768.29</v>
      </c>
      <c r="I25" s="28" t="n">
        <v>2024</v>
      </c>
      <c r="J25" s="32" t="n">
        <v>-13838.35</v>
      </c>
      <c r="K25" s="30" t="n">
        <v>-0.34</v>
      </c>
      <c r="L25" s="33" t="n">
        <v>188288.98</v>
      </c>
      <c r="M25" s="30" t="n">
        <v>6.25</v>
      </c>
      <c r="N25" s="29" t="n">
        <v>1105273.35</v>
      </c>
      <c r="O25" s="29" t="n">
        <v>903146.02</v>
      </c>
      <c r="P25" s="32" t="n">
        <v>-202127.33</v>
      </c>
      <c r="Q25" s="30" t="n">
        <v>26.85</v>
      </c>
      <c r="R25" s="30" t="n">
        <v>22.02</v>
      </c>
    </row>
    <row r="26">
      <c r="A26" s="25" t="inlineStr">
        <is>
          <t>Jan</t>
        </is>
      </c>
      <c r="B26" s="25" t="n">
        <v>1</v>
      </c>
      <c r="C26" s="25" t="inlineStr">
        <is>
          <t>Middle East</t>
        </is>
      </c>
      <c r="D26" s="25" t="inlineStr">
        <is>
          <t>Hedge Funds</t>
        </is>
      </c>
      <c r="E26" s="26" t="n">
        <v>3996648.91</v>
      </c>
      <c r="F26" s="26" t="n">
        <v>4044420.3</v>
      </c>
      <c r="G26" s="26" t="n">
        <v>1869934.54</v>
      </c>
      <c r="H26" s="26" t="n">
        <v>2037076.64</v>
      </c>
      <c r="I26" s="25" t="n">
        <v>2024</v>
      </c>
      <c r="J26" s="33" t="n">
        <v>47771.39</v>
      </c>
      <c r="K26" s="27" t="n">
        <v>1.2</v>
      </c>
      <c r="L26" s="33" t="n">
        <v>167142.1</v>
      </c>
      <c r="M26" s="27" t="n">
        <v>8.94</v>
      </c>
      <c r="N26" s="26" t="n">
        <v>2126714.37</v>
      </c>
      <c r="O26" s="26" t="n">
        <v>2007343.66</v>
      </c>
      <c r="P26" s="32" t="n">
        <v>-119370.71</v>
      </c>
      <c r="Q26" s="27" t="n">
        <v>53.21</v>
      </c>
      <c r="R26" s="27" t="n">
        <v>49.63</v>
      </c>
    </row>
    <row r="27">
      <c r="A27" s="28" t="inlineStr">
        <is>
          <t>Jan</t>
        </is>
      </c>
      <c r="B27" s="28" t="n">
        <v>1</v>
      </c>
      <c r="C27" s="28" t="inlineStr">
        <is>
          <t>Middle East</t>
        </is>
      </c>
      <c r="D27" s="28" t="inlineStr">
        <is>
          <t>Private Equity</t>
        </is>
      </c>
      <c r="E27" s="29" t="n">
        <v>2597433.96</v>
      </c>
      <c r="F27" s="29" t="n">
        <v>2740769.34</v>
      </c>
      <c r="G27" s="29" t="n">
        <v>1244378.98</v>
      </c>
      <c r="H27" s="29" t="n">
        <v>1188147.87</v>
      </c>
      <c r="I27" s="28" t="n">
        <v>2024</v>
      </c>
      <c r="J27" s="33" t="n">
        <v>143335.38</v>
      </c>
      <c r="K27" s="30" t="n">
        <v>5.52</v>
      </c>
      <c r="L27" s="32" t="n">
        <v>-56231.11</v>
      </c>
      <c r="M27" s="30" t="n">
        <v>-4.52</v>
      </c>
      <c r="N27" s="29" t="n">
        <v>1353054.98</v>
      </c>
      <c r="O27" s="29" t="n">
        <v>1552621.47</v>
      </c>
      <c r="P27" s="33" t="n">
        <v>199566.49</v>
      </c>
      <c r="Q27" s="30" t="n">
        <v>52.09</v>
      </c>
      <c r="R27" s="30" t="n">
        <v>56.65</v>
      </c>
    </row>
    <row r="28">
      <c r="A28" s="25" t="inlineStr">
        <is>
          <t>Feb</t>
        </is>
      </c>
      <c r="B28" s="25" t="n">
        <v>2</v>
      </c>
      <c r="C28" s="25" t="inlineStr">
        <is>
          <t>North America</t>
        </is>
      </c>
      <c r="D28" s="25" t="inlineStr">
        <is>
          <t>Equity Funds</t>
        </is>
      </c>
      <c r="E28" s="26" t="n">
        <v>4917979.6</v>
      </c>
      <c r="F28" s="26" t="n">
        <v>4938724.63</v>
      </c>
      <c r="G28" s="26" t="n">
        <v>2968234.98</v>
      </c>
      <c r="H28" s="26" t="n">
        <v>2772115.86</v>
      </c>
      <c r="I28" s="25" t="n">
        <v>2024</v>
      </c>
      <c r="J28" s="33" t="n">
        <v>20745.03</v>
      </c>
      <c r="K28" s="27" t="n">
        <v>0.42</v>
      </c>
      <c r="L28" s="32" t="n">
        <v>-196119.12</v>
      </c>
      <c r="M28" s="27" t="n">
        <v>-6.61</v>
      </c>
      <c r="N28" s="26" t="n">
        <v>1949744.62</v>
      </c>
      <c r="O28" s="26" t="n">
        <v>2166608.77</v>
      </c>
      <c r="P28" s="33" t="n">
        <v>216864.15</v>
      </c>
      <c r="Q28" s="27" t="n">
        <v>39.65</v>
      </c>
      <c r="R28" s="27" t="n">
        <v>43.87</v>
      </c>
    </row>
    <row r="29">
      <c r="A29" s="28" t="inlineStr">
        <is>
          <t>Feb</t>
        </is>
      </c>
      <c r="B29" s="28" t="n">
        <v>2</v>
      </c>
      <c r="C29" s="28" t="inlineStr">
        <is>
          <t>North America</t>
        </is>
      </c>
      <c r="D29" s="28" t="inlineStr">
        <is>
          <t>Fixed Income</t>
        </is>
      </c>
      <c r="E29" s="29" t="n">
        <v>2100132.5</v>
      </c>
      <c r="F29" s="29" t="n">
        <v>1959113.16</v>
      </c>
      <c r="G29" s="29" t="n">
        <v>1271456.6</v>
      </c>
      <c r="H29" s="29" t="n">
        <v>1311462.61</v>
      </c>
      <c r="I29" s="28" t="n">
        <v>2024</v>
      </c>
      <c r="J29" s="32" t="n">
        <v>-141019.34</v>
      </c>
      <c r="K29" s="30" t="n">
        <v>-6.71</v>
      </c>
      <c r="L29" s="33" t="n">
        <v>40006.01</v>
      </c>
      <c r="M29" s="30" t="n">
        <v>3.15</v>
      </c>
      <c r="N29" s="29" t="n">
        <v>828675.9</v>
      </c>
      <c r="O29" s="29" t="n">
        <v>647650.55</v>
      </c>
      <c r="P29" s="32" t="n">
        <v>-181025.35</v>
      </c>
      <c r="Q29" s="30" t="n">
        <v>39.46</v>
      </c>
      <c r="R29" s="30" t="n">
        <v>33.06</v>
      </c>
    </row>
    <row r="30">
      <c r="A30" s="25" t="inlineStr">
        <is>
          <t>Feb</t>
        </is>
      </c>
      <c r="B30" s="25" t="n">
        <v>2</v>
      </c>
      <c r="C30" s="25" t="inlineStr">
        <is>
          <t>North America</t>
        </is>
      </c>
      <c r="D30" s="25" t="inlineStr">
        <is>
          <t>Real Estate</t>
        </is>
      </c>
      <c r="E30" s="26" t="n">
        <v>1888259.03</v>
      </c>
      <c r="F30" s="26" t="n">
        <v>1693779.23</v>
      </c>
      <c r="G30" s="26" t="n">
        <v>1204575.37</v>
      </c>
      <c r="H30" s="26" t="n">
        <v>1253426.52</v>
      </c>
      <c r="I30" s="25" t="n">
        <v>2024</v>
      </c>
      <c r="J30" s="32" t="n">
        <v>-194479.8</v>
      </c>
      <c r="K30" s="27" t="n">
        <v>-10.3</v>
      </c>
      <c r="L30" s="33" t="n">
        <v>48851.15</v>
      </c>
      <c r="M30" s="27" t="n">
        <v>4.06</v>
      </c>
      <c r="N30" s="26" t="n">
        <v>683683.66</v>
      </c>
      <c r="O30" s="26" t="n">
        <v>440352.71</v>
      </c>
      <c r="P30" s="32" t="n">
        <v>-243330.95</v>
      </c>
      <c r="Q30" s="27" t="n">
        <v>36.21</v>
      </c>
      <c r="R30" s="27" t="n">
        <v>26</v>
      </c>
    </row>
    <row r="31">
      <c r="A31" s="28" t="inlineStr">
        <is>
          <t>Feb</t>
        </is>
      </c>
      <c r="B31" s="28" t="n">
        <v>2</v>
      </c>
      <c r="C31" s="28" t="inlineStr">
        <is>
          <t>North America</t>
        </is>
      </c>
      <c r="D31" s="28" t="inlineStr">
        <is>
          <t>Hedge Funds</t>
        </is>
      </c>
      <c r="E31" s="29" t="n">
        <v>1847851.54</v>
      </c>
      <c r="F31" s="29" t="n">
        <v>1879358.04</v>
      </c>
      <c r="G31" s="29" t="n">
        <v>827828.85</v>
      </c>
      <c r="H31" s="29" t="n">
        <v>884376.73</v>
      </c>
      <c r="I31" s="28" t="n">
        <v>2024</v>
      </c>
      <c r="J31" s="33" t="n">
        <v>31506.5</v>
      </c>
      <c r="K31" s="30" t="n">
        <v>1.71</v>
      </c>
      <c r="L31" s="33" t="n">
        <v>56547.88</v>
      </c>
      <c r="M31" s="30" t="n">
        <v>6.83</v>
      </c>
      <c r="N31" s="29" t="n">
        <v>1020022.69</v>
      </c>
      <c r="O31" s="29" t="n">
        <v>994981.3100000001</v>
      </c>
      <c r="P31" s="32" t="n">
        <v>-25041.38</v>
      </c>
      <c r="Q31" s="30" t="n">
        <v>55.2</v>
      </c>
      <c r="R31" s="30" t="n">
        <v>52.94</v>
      </c>
    </row>
    <row r="32">
      <c r="A32" s="25" t="inlineStr">
        <is>
          <t>Feb</t>
        </is>
      </c>
      <c r="B32" s="25" t="n">
        <v>2</v>
      </c>
      <c r="C32" s="25" t="inlineStr">
        <is>
          <t>North America</t>
        </is>
      </c>
      <c r="D32" s="25" t="inlineStr">
        <is>
          <t>Private Equity</t>
        </is>
      </c>
      <c r="E32" s="26" t="n">
        <v>3853595.51</v>
      </c>
      <c r="F32" s="26" t="n">
        <v>3789827.31</v>
      </c>
      <c r="G32" s="26" t="n">
        <v>2093111.3</v>
      </c>
      <c r="H32" s="26" t="n">
        <v>2076546.25</v>
      </c>
      <c r="I32" s="25" t="n">
        <v>2024</v>
      </c>
      <c r="J32" s="32" t="n">
        <v>-63768.2</v>
      </c>
      <c r="K32" s="27" t="n">
        <v>-1.65</v>
      </c>
      <c r="L32" s="32" t="n">
        <v>-16565.05</v>
      </c>
      <c r="M32" s="27" t="n">
        <v>-0.79</v>
      </c>
      <c r="N32" s="26" t="n">
        <v>1760484.21</v>
      </c>
      <c r="O32" s="26" t="n">
        <v>1713281.06</v>
      </c>
      <c r="P32" s="32" t="n">
        <v>-47203.15</v>
      </c>
      <c r="Q32" s="27" t="n">
        <v>45.68</v>
      </c>
      <c r="R32" s="27" t="n">
        <v>45.21</v>
      </c>
    </row>
    <row r="33">
      <c r="A33" s="28" t="inlineStr">
        <is>
          <t>Feb</t>
        </is>
      </c>
      <c r="B33" s="28" t="n">
        <v>2</v>
      </c>
      <c r="C33" s="28" t="inlineStr">
        <is>
          <t>Europe</t>
        </is>
      </c>
      <c r="D33" s="28" t="inlineStr">
        <is>
          <t>Equity Funds</t>
        </is>
      </c>
      <c r="E33" s="29" t="n">
        <v>4236099.26</v>
      </c>
      <c r="F33" s="29" t="n">
        <v>3827825.24</v>
      </c>
      <c r="G33" s="29" t="n">
        <v>2469094.87</v>
      </c>
      <c r="H33" s="29" t="n">
        <v>2373868.36</v>
      </c>
      <c r="I33" s="28" t="n">
        <v>2024</v>
      </c>
      <c r="J33" s="32" t="n">
        <v>-408274.02</v>
      </c>
      <c r="K33" s="30" t="n">
        <v>-9.640000000000001</v>
      </c>
      <c r="L33" s="32" t="n">
        <v>-95226.50999999999</v>
      </c>
      <c r="M33" s="30" t="n">
        <v>-3.86</v>
      </c>
      <c r="N33" s="29" t="n">
        <v>1767004.39</v>
      </c>
      <c r="O33" s="29" t="n">
        <v>1453956.88</v>
      </c>
      <c r="P33" s="32" t="n">
        <v>-313047.51</v>
      </c>
      <c r="Q33" s="30" t="n">
        <v>41.71</v>
      </c>
      <c r="R33" s="30" t="n">
        <v>37.98</v>
      </c>
    </row>
    <row r="34">
      <c r="A34" s="25" t="inlineStr">
        <is>
          <t>Feb</t>
        </is>
      </c>
      <c r="B34" s="25" t="n">
        <v>2</v>
      </c>
      <c r="C34" s="25" t="inlineStr">
        <is>
          <t>Europe</t>
        </is>
      </c>
      <c r="D34" s="25" t="inlineStr">
        <is>
          <t>Fixed Income</t>
        </is>
      </c>
      <c r="E34" s="26" t="n">
        <v>4145229.76</v>
      </c>
      <c r="F34" s="26" t="n">
        <v>4094107.68</v>
      </c>
      <c r="G34" s="26" t="n">
        <v>2281987.73</v>
      </c>
      <c r="H34" s="26" t="n">
        <v>2160701.99</v>
      </c>
      <c r="I34" s="25" t="n">
        <v>2024</v>
      </c>
      <c r="J34" s="32" t="n">
        <v>-51122.08</v>
      </c>
      <c r="K34" s="27" t="n">
        <v>-1.23</v>
      </c>
      <c r="L34" s="32" t="n">
        <v>-121285.74</v>
      </c>
      <c r="M34" s="27" t="n">
        <v>-5.31</v>
      </c>
      <c r="N34" s="26" t="n">
        <v>1863242.03</v>
      </c>
      <c r="O34" s="26" t="n">
        <v>1933405.69</v>
      </c>
      <c r="P34" s="33" t="n">
        <v>70163.66</v>
      </c>
      <c r="Q34" s="27" t="n">
        <v>44.95</v>
      </c>
      <c r="R34" s="27" t="n">
        <v>47.22</v>
      </c>
    </row>
    <row r="35">
      <c r="A35" s="28" t="inlineStr">
        <is>
          <t>Feb</t>
        </is>
      </c>
      <c r="B35" s="28" t="n">
        <v>2</v>
      </c>
      <c r="C35" s="28" t="inlineStr">
        <is>
          <t>Europe</t>
        </is>
      </c>
      <c r="D35" s="28" t="inlineStr">
        <is>
          <t>Real Estate</t>
        </is>
      </c>
      <c r="E35" s="29" t="n">
        <v>1828154.7</v>
      </c>
      <c r="F35" s="29" t="n">
        <v>1986699.2</v>
      </c>
      <c r="G35" s="29" t="n">
        <v>1357852.11</v>
      </c>
      <c r="H35" s="29" t="n">
        <v>1211395.81</v>
      </c>
      <c r="I35" s="28" t="n">
        <v>2024</v>
      </c>
      <c r="J35" s="33" t="n">
        <v>158544.5</v>
      </c>
      <c r="K35" s="30" t="n">
        <v>8.67</v>
      </c>
      <c r="L35" s="32" t="n">
        <v>-146456.3</v>
      </c>
      <c r="M35" s="30" t="n">
        <v>-10.79</v>
      </c>
      <c r="N35" s="29" t="n">
        <v>470302.59</v>
      </c>
      <c r="O35" s="29" t="n">
        <v>775303.39</v>
      </c>
      <c r="P35" s="33" t="n">
        <v>305000.8</v>
      </c>
      <c r="Q35" s="30" t="n">
        <v>25.73</v>
      </c>
      <c r="R35" s="30" t="n">
        <v>39.02</v>
      </c>
    </row>
    <row r="36">
      <c r="A36" s="25" t="inlineStr">
        <is>
          <t>Feb</t>
        </is>
      </c>
      <c r="B36" s="25" t="n">
        <v>2</v>
      </c>
      <c r="C36" s="25" t="inlineStr">
        <is>
          <t>Europe</t>
        </is>
      </c>
      <c r="D36" s="25" t="inlineStr">
        <is>
          <t>Hedge Funds</t>
        </is>
      </c>
      <c r="E36" s="26" t="n">
        <v>5465699.95</v>
      </c>
      <c r="F36" s="26" t="n">
        <v>6024994.51</v>
      </c>
      <c r="G36" s="26" t="n">
        <v>3746150.97</v>
      </c>
      <c r="H36" s="26" t="n">
        <v>3446139.22</v>
      </c>
      <c r="I36" s="25" t="n">
        <v>2024</v>
      </c>
      <c r="J36" s="33" t="n">
        <v>559294.5600000001</v>
      </c>
      <c r="K36" s="27" t="n">
        <v>10.23</v>
      </c>
      <c r="L36" s="32" t="n">
        <v>-300011.75</v>
      </c>
      <c r="M36" s="27" t="n">
        <v>-8.01</v>
      </c>
      <c r="N36" s="26" t="n">
        <v>1719548.98</v>
      </c>
      <c r="O36" s="26" t="n">
        <v>2578855.29</v>
      </c>
      <c r="P36" s="33" t="n">
        <v>859306.3100000001</v>
      </c>
      <c r="Q36" s="27" t="n">
        <v>31.46</v>
      </c>
      <c r="R36" s="27" t="n">
        <v>42.8</v>
      </c>
    </row>
    <row r="37">
      <c r="A37" s="28" t="inlineStr">
        <is>
          <t>Feb</t>
        </is>
      </c>
      <c r="B37" s="28" t="n">
        <v>2</v>
      </c>
      <c r="C37" s="28" t="inlineStr">
        <is>
          <t>Europe</t>
        </is>
      </c>
      <c r="D37" s="28" t="inlineStr">
        <is>
          <t>Private Equity</t>
        </is>
      </c>
      <c r="E37" s="29" t="n">
        <v>2783489.69</v>
      </c>
      <c r="F37" s="29" t="n">
        <v>2488641.57</v>
      </c>
      <c r="G37" s="29" t="n">
        <v>1424615.97</v>
      </c>
      <c r="H37" s="29" t="n">
        <v>1590546.87</v>
      </c>
      <c r="I37" s="28" t="n">
        <v>2024</v>
      </c>
      <c r="J37" s="32" t="n">
        <v>-294848.12</v>
      </c>
      <c r="K37" s="30" t="n">
        <v>-10.59</v>
      </c>
      <c r="L37" s="33" t="n">
        <v>165930.9</v>
      </c>
      <c r="M37" s="30" t="n">
        <v>11.65</v>
      </c>
      <c r="N37" s="29" t="n">
        <v>1358873.72</v>
      </c>
      <c r="O37" s="29" t="n">
        <v>898094.7</v>
      </c>
      <c r="P37" s="32" t="n">
        <v>-460779.02</v>
      </c>
      <c r="Q37" s="30" t="n">
        <v>48.82</v>
      </c>
      <c r="R37" s="30" t="n">
        <v>36.09</v>
      </c>
    </row>
    <row r="38">
      <c r="A38" s="25" t="inlineStr">
        <is>
          <t>Feb</t>
        </is>
      </c>
      <c r="B38" s="25" t="n">
        <v>2</v>
      </c>
      <c r="C38" s="25" t="inlineStr">
        <is>
          <t>Asia Pacific</t>
        </is>
      </c>
      <c r="D38" s="25" t="inlineStr">
        <is>
          <t>Equity Funds</t>
        </is>
      </c>
      <c r="E38" s="26" t="n">
        <v>1896631.37</v>
      </c>
      <c r="F38" s="26" t="n">
        <v>1861585.03</v>
      </c>
      <c r="G38" s="26" t="n">
        <v>1431358.92</v>
      </c>
      <c r="H38" s="26" t="n">
        <v>1601549.56</v>
      </c>
      <c r="I38" s="25" t="n">
        <v>2024</v>
      </c>
      <c r="J38" s="32" t="n">
        <v>-35046.34</v>
      </c>
      <c r="K38" s="27" t="n">
        <v>-1.85</v>
      </c>
      <c r="L38" s="33" t="n">
        <v>170190.64</v>
      </c>
      <c r="M38" s="27" t="n">
        <v>11.89</v>
      </c>
      <c r="N38" s="26" t="n">
        <v>465272.45</v>
      </c>
      <c r="O38" s="26" t="n">
        <v>260035.47</v>
      </c>
      <c r="P38" s="32" t="n">
        <v>-205236.98</v>
      </c>
      <c r="Q38" s="27" t="n">
        <v>24.53</v>
      </c>
      <c r="R38" s="27" t="n">
        <v>13.97</v>
      </c>
    </row>
    <row r="39">
      <c r="A39" s="28" t="inlineStr">
        <is>
          <t>Feb</t>
        </is>
      </c>
      <c r="B39" s="28" t="n">
        <v>2</v>
      </c>
      <c r="C39" s="28" t="inlineStr">
        <is>
          <t>Asia Pacific</t>
        </is>
      </c>
      <c r="D39" s="28" t="inlineStr">
        <is>
          <t>Fixed Income</t>
        </is>
      </c>
      <c r="E39" s="29" t="n">
        <v>2917837.94</v>
      </c>
      <c r="F39" s="29" t="n">
        <v>2775476.27</v>
      </c>
      <c r="G39" s="29" t="n">
        <v>2281434.54</v>
      </c>
      <c r="H39" s="29" t="n">
        <v>2324789.26</v>
      </c>
      <c r="I39" s="28" t="n">
        <v>2024</v>
      </c>
      <c r="J39" s="32" t="n">
        <v>-142361.67</v>
      </c>
      <c r="K39" s="30" t="n">
        <v>-4.88</v>
      </c>
      <c r="L39" s="33" t="n">
        <v>43354.72</v>
      </c>
      <c r="M39" s="30" t="n">
        <v>1.9</v>
      </c>
      <c r="N39" s="29" t="n">
        <v>636403.4</v>
      </c>
      <c r="O39" s="29" t="n">
        <v>450687.01</v>
      </c>
      <c r="P39" s="32" t="n">
        <v>-185716.39</v>
      </c>
      <c r="Q39" s="30" t="n">
        <v>21.81</v>
      </c>
      <c r="R39" s="30" t="n">
        <v>16.24</v>
      </c>
    </row>
    <row r="40">
      <c r="A40" s="25" t="inlineStr">
        <is>
          <t>Feb</t>
        </is>
      </c>
      <c r="B40" s="25" t="n">
        <v>2</v>
      </c>
      <c r="C40" s="25" t="inlineStr">
        <is>
          <t>Asia Pacific</t>
        </is>
      </c>
      <c r="D40" s="25" t="inlineStr">
        <is>
          <t>Real Estate</t>
        </is>
      </c>
      <c r="E40" s="26" t="n">
        <v>2804679.88</v>
      </c>
      <c r="F40" s="26" t="n">
        <v>2861341.77</v>
      </c>
      <c r="G40" s="26" t="n">
        <v>2076437.56</v>
      </c>
      <c r="H40" s="26" t="n">
        <v>2252213.76</v>
      </c>
      <c r="I40" s="25" t="n">
        <v>2024</v>
      </c>
      <c r="J40" s="33" t="n">
        <v>56661.89</v>
      </c>
      <c r="K40" s="27" t="n">
        <v>2.02</v>
      </c>
      <c r="L40" s="33" t="n">
        <v>175776.2</v>
      </c>
      <c r="M40" s="27" t="n">
        <v>8.470000000000001</v>
      </c>
      <c r="N40" s="26" t="n">
        <v>728242.3199999999</v>
      </c>
      <c r="O40" s="26" t="n">
        <v>609128.01</v>
      </c>
      <c r="P40" s="32" t="n">
        <v>-119114.31</v>
      </c>
      <c r="Q40" s="27" t="n">
        <v>25.97</v>
      </c>
      <c r="R40" s="27" t="n">
        <v>21.29</v>
      </c>
    </row>
    <row r="41">
      <c r="A41" s="28" t="inlineStr">
        <is>
          <t>Feb</t>
        </is>
      </c>
      <c r="B41" s="28" t="n">
        <v>2</v>
      </c>
      <c r="C41" s="28" t="inlineStr">
        <is>
          <t>Asia Pacific</t>
        </is>
      </c>
      <c r="D41" s="28" t="inlineStr">
        <is>
          <t>Hedge Funds</t>
        </is>
      </c>
      <c r="E41" s="29" t="n">
        <v>1338507.77</v>
      </c>
      <c r="F41" s="29" t="n">
        <v>1237581.59</v>
      </c>
      <c r="G41" s="29" t="n">
        <v>1099223.18</v>
      </c>
      <c r="H41" s="29" t="n">
        <v>1145446.63</v>
      </c>
      <c r="I41" s="28" t="n">
        <v>2024</v>
      </c>
      <c r="J41" s="32" t="n">
        <v>-100926.18</v>
      </c>
      <c r="K41" s="30" t="n">
        <v>-7.54</v>
      </c>
      <c r="L41" s="33" t="n">
        <v>46223.45</v>
      </c>
      <c r="M41" s="30" t="n">
        <v>4.21</v>
      </c>
      <c r="N41" s="29" t="n">
        <v>239284.59</v>
      </c>
      <c r="O41" s="29" t="n">
        <v>92134.96000000001</v>
      </c>
      <c r="P41" s="32" t="n">
        <v>-147149.63</v>
      </c>
      <c r="Q41" s="30" t="n">
        <v>17.88</v>
      </c>
      <c r="R41" s="30" t="n">
        <v>7.44</v>
      </c>
    </row>
    <row r="42">
      <c r="A42" s="25" t="inlineStr">
        <is>
          <t>Feb</t>
        </is>
      </c>
      <c r="B42" s="25" t="n">
        <v>2</v>
      </c>
      <c r="C42" s="25" t="inlineStr">
        <is>
          <t>Asia Pacific</t>
        </is>
      </c>
      <c r="D42" s="25" t="inlineStr">
        <is>
          <t>Private Equity</t>
        </is>
      </c>
      <c r="E42" s="26" t="n">
        <v>1927411.89</v>
      </c>
      <c r="F42" s="26" t="n">
        <v>1810016.48</v>
      </c>
      <c r="G42" s="26" t="n">
        <v>885261.73</v>
      </c>
      <c r="H42" s="26" t="n">
        <v>910625.86</v>
      </c>
      <c r="I42" s="25" t="n">
        <v>2024</v>
      </c>
      <c r="J42" s="32" t="n">
        <v>-117395.41</v>
      </c>
      <c r="K42" s="27" t="n">
        <v>-6.09</v>
      </c>
      <c r="L42" s="33" t="n">
        <v>25364.13</v>
      </c>
      <c r="M42" s="27" t="n">
        <v>2.87</v>
      </c>
      <c r="N42" s="26" t="n">
        <v>1042150.16</v>
      </c>
      <c r="O42" s="26" t="n">
        <v>899390.62</v>
      </c>
      <c r="P42" s="32" t="n">
        <v>-142759.54</v>
      </c>
      <c r="Q42" s="27" t="n">
        <v>54.07</v>
      </c>
      <c r="R42" s="27" t="n">
        <v>49.69</v>
      </c>
    </row>
    <row r="43">
      <c r="A43" s="28" t="inlineStr">
        <is>
          <t>Feb</t>
        </is>
      </c>
      <c r="B43" s="28" t="n">
        <v>2</v>
      </c>
      <c r="C43" s="28" t="inlineStr">
        <is>
          <t>Latin America</t>
        </is>
      </c>
      <c r="D43" s="28" t="inlineStr">
        <is>
          <t>Equity Funds</t>
        </is>
      </c>
      <c r="E43" s="29" t="n">
        <v>2572412.79</v>
      </c>
      <c r="F43" s="29" t="n">
        <v>2840791.33</v>
      </c>
      <c r="G43" s="29" t="n">
        <v>1506045.81</v>
      </c>
      <c r="H43" s="29" t="n">
        <v>1584188.55</v>
      </c>
      <c r="I43" s="28" t="n">
        <v>2024</v>
      </c>
      <c r="J43" s="33" t="n">
        <v>268378.54</v>
      </c>
      <c r="K43" s="30" t="n">
        <v>10.43</v>
      </c>
      <c r="L43" s="33" t="n">
        <v>78142.74000000001</v>
      </c>
      <c r="M43" s="30" t="n">
        <v>5.19</v>
      </c>
      <c r="N43" s="29" t="n">
        <v>1066366.98</v>
      </c>
      <c r="O43" s="29" t="n">
        <v>1256602.78</v>
      </c>
      <c r="P43" s="33" t="n">
        <v>190235.8</v>
      </c>
      <c r="Q43" s="30" t="n">
        <v>41.45</v>
      </c>
      <c r="R43" s="30" t="n">
        <v>44.23</v>
      </c>
    </row>
    <row r="44">
      <c r="A44" s="25" t="inlineStr">
        <is>
          <t>Feb</t>
        </is>
      </c>
      <c r="B44" s="25" t="n">
        <v>2</v>
      </c>
      <c r="C44" s="25" t="inlineStr">
        <is>
          <t>Latin America</t>
        </is>
      </c>
      <c r="D44" s="25" t="inlineStr">
        <is>
          <t>Fixed Income</t>
        </is>
      </c>
      <c r="E44" s="26" t="n">
        <v>1864374.67</v>
      </c>
      <c r="F44" s="26" t="n">
        <v>1774883.38</v>
      </c>
      <c r="G44" s="26" t="n">
        <v>987446.74</v>
      </c>
      <c r="H44" s="26" t="n">
        <v>1047135.41</v>
      </c>
      <c r="I44" s="25" t="n">
        <v>2024</v>
      </c>
      <c r="J44" s="32" t="n">
        <v>-89491.28999999999</v>
      </c>
      <c r="K44" s="27" t="n">
        <v>-4.8</v>
      </c>
      <c r="L44" s="33" t="n">
        <v>59688.67</v>
      </c>
      <c r="M44" s="27" t="n">
        <v>6.04</v>
      </c>
      <c r="N44" s="26" t="n">
        <v>876927.9300000001</v>
      </c>
      <c r="O44" s="26" t="n">
        <v>727747.97</v>
      </c>
      <c r="P44" s="32" t="n">
        <v>-149179.96</v>
      </c>
      <c r="Q44" s="27" t="n">
        <v>47.04</v>
      </c>
      <c r="R44" s="27" t="n">
        <v>41</v>
      </c>
    </row>
    <row r="45">
      <c r="A45" s="28" t="inlineStr">
        <is>
          <t>Feb</t>
        </is>
      </c>
      <c r="B45" s="28" t="n">
        <v>2</v>
      </c>
      <c r="C45" s="28" t="inlineStr">
        <is>
          <t>Latin America</t>
        </is>
      </c>
      <c r="D45" s="28" t="inlineStr">
        <is>
          <t>Real Estate</t>
        </is>
      </c>
      <c r="E45" s="29" t="n">
        <v>1214807.72</v>
      </c>
      <c r="F45" s="29" t="n">
        <v>1359446.55</v>
      </c>
      <c r="G45" s="29" t="n">
        <v>593594.87</v>
      </c>
      <c r="H45" s="29" t="n">
        <v>552730.04</v>
      </c>
      <c r="I45" s="28" t="n">
        <v>2024</v>
      </c>
      <c r="J45" s="33" t="n">
        <v>144638.83</v>
      </c>
      <c r="K45" s="30" t="n">
        <v>11.91</v>
      </c>
      <c r="L45" s="32" t="n">
        <v>-40864.83</v>
      </c>
      <c r="M45" s="30" t="n">
        <v>-6.88</v>
      </c>
      <c r="N45" s="29" t="n">
        <v>621212.85</v>
      </c>
      <c r="O45" s="29" t="n">
        <v>806716.51</v>
      </c>
      <c r="P45" s="33" t="n">
        <v>185503.66</v>
      </c>
      <c r="Q45" s="30" t="n">
        <v>51.14</v>
      </c>
      <c r="R45" s="30" t="n">
        <v>59.34</v>
      </c>
    </row>
    <row r="46">
      <c r="A46" s="25" t="inlineStr">
        <is>
          <t>Feb</t>
        </is>
      </c>
      <c r="B46" s="25" t="n">
        <v>2</v>
      </c>
      <c r="C46" s="25" t="inlineStr">
        <is>
          <t>Latin America</t>
        </is>
      </c>
      <c r="D46" s="25" t="inlineStr">
        <is>
          <t>Hedge Funds</t>
        </is>
      </c>
      <c r="E46" s="26" t="n">
        <v>2059624.49</v>
      </c>
      <c r="F46" s="26" t="n">
        <v>2247101.52</v>
      </c>
      <c r="G46" s="26" t="n">
        <v>1360606.26</v>
      </c>
      <c r="H46" s="26" t="n">
        <v>1248845.03</v>
      </c>
      <c r="I46" s="25" t="n">
        <v>2024</v>
      </c>
      <c r="J46" s="33" t="n">
        <v>187477.03</v>
      </c>
      <c r="K46" s="27" t="n">
        <v>9.1</v>
      </c>
      <c r="L46" s="32" t="n">
        <v>-111761.23</v>
      </c>
      <c r="M46" s="27" t="n">
        <v>-8.210000000000001</v>
      </c>
      <c r="N46" s="26" t="n">
        <v>699018.23</v>
      </c>
      <c r="O46" s="26" t="n">
        <v>998256.49</v>
      </c>
      <c r="P46" s="33" t="n">
        <v>299238.26</v>
      </c>
      <c r="Q46" s="27" t="n">
        <v>33.94</v>
      </c>
      <c r="R46" s="27" t="n">
        <v>44.42</v>
      </c>
    </row>
    <row r="47">
      <c r="A47" s="28" t="inlineStr">
        <is>
          <t>Feb</t>
        </is>
      </c>
      <c r="B47" s="28" t="n">
        <v>2</v>
      </c>
      <c r="C47" s="28" t="inlineStr">
        <is>
          <t>Latin America</t>
        </is>
      </c>
      <c r="D47" s="28" t="inlineStr">
        <is>
          <t>Private Equity</t>
        </is>
      </c>
      <c r="E47" s="29" t="n">
        <v>4397810.3</v>
      </c>
      <c r="F47" s="29" t="n">
        <v>4912072.36</v>
      </c>
      <c r="G47" s="29" t="n">
        <v>2931282.13</v>
      </c>
      <c r="H47" s="29" t="n">
        <v>2585031.89</v>
      </c>
      <c r="I47" s="28" t="n">
        <v>2024</v>
      </c>
      <c r="J47" s="33" t="n">
        <v>514262.06</v>
      </c>
      <c r="K47" s="30" t="n">
        <v>11.69</v>
      </c>
      <c r="L47" s="32" t="n">
        <v>-346250.24</v>
      </c>
      <c r="M47" s="30" t="n">
        <v>-11.81</v>
      </c>
      <c r="N47" s="29" t="n">
        <v>1466528.17</v>
      </c>
      <c r="O47" s="29" t="n">
        <v>2327040.47</v>
      </c>
      <c r="P47" s="33" t="n">
        <v>860512.3</v>
      </c>
      <c r="Q47" s="30" t="n">
        <v>33.35</v>
      </c>
      <c r="R47" s="30" t="n">
        <v>47.37</v>
      </c>
    </row>
    <row r="48">
      <c r="A48" s="25" t="inlineStr">
        <is>
          <t>Feb</t>
        </is>
      </c>
      <c r="B48" s="25" t="n">
        <v>2</v>
      </c>
      <c r="C48" s="25" t="inlineStr">
        <is>
          <t>Middle East</t>
        </is>
      </c>
      <c r="D48" s="25" t="inlineStr">
        <is>
          <t>Equity Funds</t>
        </is>
      </c>
      <c r="E48" s="26" t="n">
        <v>4370124.26</v>
      </c>
      <c r="F48" s="26" t="n">
        <v>4830487.14</v>
      </c>
      <c r="G48" s="26" t="n">
        <v>2117318.14</v>
      </c>
      <c r="H48" s="26" t="n">
        <v>1921895.78</v>
      </c>
      <c r="I48" s="25" t="n">
        <v>2024</v>
      </c>
      <c r="J48" s="33" t="n">
        <v>460362.88</v>
      </c>
      <c r="K48" s="27" t="n">
        <v>10.53</v>
      </c>
      <c r="L48" s="32" t="n">
        <v>-195422.36</v>
      </c>
      <c r="M48" s="27" t="n">
        <v>-9.23</v>
      </c>
      <c r="N48" s="26" t="n">
        <v>2252806.12</v>
      </c>
      <c r="O48" s="26" t="n">
        <v>2908591.36</v>
      </c>
      <c r="P48" s="33" t="n">
        <v>655785.24</v>
      </c>
      <c r="Q48" s="27" t="n">
        <v>51.55</v>
      </c>
      <c r="R48" s="27" t="n">
        <v>60.21</v>
      </c>
    </row>
    <row r="49">
      <c r="A49" s="28" t="inlineStr">
        <is>
          <t>Feb</t>
        </is>
      </c>
      <c r="B49" s="28" t="n">
        <v>2</v>
      </c>
      <c r="C49" s="28" t="inlineStr">
        <is>
          <t>Middle East</t>
        </is>
      </c>
      <c r="D49" s="28" t="inlineStr">
        <is>
          <t>Fixed Income</t>
        </is>
      </c>
      <c r="E49" s="29" t="n">
        <v>1192658.6</v>
      </c>
      <c r="F49" s="29" t="n">
        <v>1222664.89</v>
      </c>
      <c r="G49" s="29" t="n">
        <v>803180.8100000001</v>
      </c>
      <c r="H49" s="29" t="n">
        <v>746045.22</v>
      </c>
      <c r="I49" s="28" t="n">
        <v>2024</v>
      </c>
      <c r="J49" s="33" t="n">
        <v>30006.29</v>
      </c>
      <c r="K49" s="30" t="n">
        <v>2.52</v>
      </c>
      <c r="L49" s="32" t="n">
        <v>-57135.59</v>
      </c>
      <c r="M49" s="30" t="n">
        <v>-7.11</v>
      </c>
      <c r="N49" s="29" t="n">
        <v>389477.79</v>
      </c>
      <c r="O49" s="29" t="n">
        <v>476619.67</v>
      </c>
      <c r="P49" s="33" t="n">
        <v>87141.88</v>
      </c>
      <c r="Q49" s="30" t="n">
        <v>32.66</v>
      </c>
      <c r="R49" s="30" t="n">
        <v>38.98</v>
      </c>
    </row>
    <row r="50">
      <c r="A50" s="25" t="inlineStr">
        <is>
          <t>Feb</t>
        </is>
      </c>
      <c r="B50" s="25" t="n">
        <v>2</v>
      </c>
      <c r="C50" s="25" t="inlineStr">
        <is>
          <t>Middle East</t>
        </is>
      </c>
      <c r="D50" s="25" t="inlineStr">
        <is>
          <t>Real Estate</t>
        </is>
      </c>
      <c r="E50" s="26" t="n">
        <v>3455854.75</v>
      </c>
      <c r="F50" s="26" t="n">
        <v>3792042.92</v>
      </c>
      <c r="G50" s="26" t="n">
        <v>1959909.34</v>
      </c>
      <c r="H50" s="26" t="n">
        <v>1768135.41</v>
      </c>
      <c r="I50" s="25" t="n">
        <v>2024</v>
      </c>
      <c r="J50" s="33" t="n">
        <v>336188.17</v>
      </c>
      <c r="K50" s="27" t="n">
        <v>9.73</v>
      </c>
      <c r="L50" s="32" t="n">
        <v>-191773.93</v>
      </c>
      <c r="M50" s="27" t="n">
        <v>-9.779999999999999</v>
      </c>
      <c r="N50" s="26" t="n">
        <v>1495945.41</v>
      </c>
      <c r="O50" s="26" t="n">
        <v>2023907.51</v>
      </c>
      <c r="P50" s="33" t="n">
        <v>527962.1</v>
      </c>
      <c r="Q50" s="27" t="n">
        <v>43.29</v>
      </c>
      <c r="R50" s="27" t="n">
        <v>53.37</v>
      </c>
    </row>
    <row r="51">
      <c r="A51" s="28" t="inlineStr">
        <is>
          <t>Feb</t>
        </is>
      </c>
      <c r="B51" s="28" t="n">
        <v>2</v>
      </c>
      <c r="C51" s="28" t="inlineStr">
        <is>
          <t>Middle East</t>
        </is>
      </c>
      <c r="D51" s="28" t="inlineStr">
        <is>
          <t>Hedge Funds</t>
        </is>
      </c>
      <c r="E51" s="29" t="n">
        <v>2322945.3</v>
      </c>
      <c r="F51" s="29" t="n">
        <v>2474096.13</v>
      </c>
      <c r="G51" s="29" t="n">
        <v>1412323.17</v>
      </c>
      <c r="H51" s="29" t="n">
        <v>1331636.11</v>
      </c>
      <c r="I51" s="28" t="n">
        <v>2024</v>
      </c>
      <c r="J51" s="33" t="n">
        <v>151150.83</v>
      </c>
      <c r="K51" s="30" t="n">
        <v>6.51</v>
      </c>
      <c r="L51" s="32" t="n">
        <v>-80687.06</v>
      </c>
      <c r="M51" s="30" t="n">
        <v>-5.71</v>
      </c>
      <c r="N51" s="29" t="n">
        <v>910622.13</v>
      </c>
      <c r="O51" s="29" t="n">
        <v>1142460.02</v>
      </c>
      <c r="P51" s="33" t="n">
        <v>231837.89</v>
      </c>
      <c r="Q51" s="30" t="n">
        <v>39.2</v>
      </c>
      <c r="R51" s="30" t="n">
        <v>46.18</v>
      </c>
    </row>
    <row r="52">
      <c r="A52" s="25" t="inlineStr">
        <is>
          <t>Feb</t>
        </is>
      </c>
      <c r="B52" s="25" t="n">
        <v>2</v>
      </c>
      <c r="C52" s="25" t="inlineStr">
        <is>
          <t>Middle East</t>
        </is>
      </c>
      <c r="D52" s="25" t="inlineStr">
        <is>
          <t>Private Equity</t>
        </is>
      </c>
      <c r="E52" s="26" t="n">
        <v>3856575.14</v>
      </c>
      <c r="F52" s="26" t="n">
        <v>3402736.18</v>
      </c>
      <c r="G52" s="26" t="n">
        <v>2203961</v>
      </c>
      <c r="H52" s="26" t="n">
        <v>2406605.37</v>
      </c>
      <c r="I52" s="25" t="n">
        <v>2024</v>
      </c>
      <c r="J52" s="32" t="n">
        <v>-453838.96</v>
      </c>
      <c r="K52" s="27" t="n">
        <v>-11.77</v>
      </c>
      <c r="L52" s="33" t="n">
        <v>202644.37</v>
      </c>
      <c r="M52" s="27" t="n">
        <v>9.19</v>
      </c>
      <c r="N52" s="26" t="n">
        <v>1652614.14</v>
      </c>
      <c r="O52" s="26" t="n">
        <v>996130.8100000001</v>
      </c>
      <c r="P52" s="32" t="n">
        <v>-656483.33</v>
      </c>
      <c r="Q52" s="27" t="n">
        <v>42.85</v>
      </c>
      <c r="R52" s="27" t="n">
        <v>29.27</v>
      </c>
    </row>
    <row r="53">
      <c r="A53" s="28" t="inlineStr">
        <is>
          <t>Mar</t>
        </is>
      </c>
      <c r="B53" s="28" t="n">
        <v>3</v>
      </c>
      <c r="C53" s="28" t="inlineStr">
        <is>
          <t>North America</t>
        </is>
      </c>
      <c r="D53" s="28" t="inlineStr">
        <is>
          <t>Equity Funds</t>
        </is>
      </c>
      <c r="E53" s="29" t="n">
        <v>4904093.2</v>
      </c>
      <c r="F53" s="29" t="n">
        <v>5001205.5</v>
      </c>
      <c r="G53" s="29" t="n">
        <v>2622237.66</v>
      </c>
      <c r="H53" s="29" t="n">
        <v>2387775.33</v>
      </c>
      <c r="I53" s="28" t="n">
        <v>2024</v>
      </c>
      <c r="J53" s="33" t="n">
        <v>97112.3</v>
      </c>
      <c r="K53" s="30" t="n">
        <v>1.98</v>
      </c>
      <c r="L53" s="32" t="n">
        <v>-234462.33</v>
      </c>
      <c r="M53" s="30" t="n">
        <v>-8.94</v>
      </c>
      <c r="N53" s="29" t="n">
        <v>2281855.54</v>
      </c>
      <c r="O53" s="29" t="n">
        <v>2613430.17</v>
      </c>
      <c r="P53" s="33" t="n">
        <v>331574.63</v>
      </c>
      <c r="Q53" s="30" t="n">
        <v>46.53</v>
      </c>
      <c r="R53" s="30" t="n">
        <v>52.26</v>
      </c>
    </row>
    <row r="54">
      <c r="A54" s="25" t="inlineStr">
        <is>
          <t>Mar</t>
        </is>
      </c>
      <c r="B54" s="25" t="n">
        <v>3</v>
      </c>
      <c r="C54" s="25" t="inlineStr">
        <is>
          <t>North America</t>
        </is>
      </c>
      <c r="D54" s="25" t="inlineStr">
        <is>
          <t>Fixed Income</t>
        </is>
      </c>
      <c r="E54" s="26" t="n">
        <v>2218741.66</v>
      </c>
      <c r="F54" s="26" t="n">
        <v>2410815.06</v>
      </c>
      <c r="G54" s="26" t="n">
        <v>1627811.64</v>
      </c>
      <c r="H54" s="26" t="n">
        <v>1514545.85</v>
      </c>
      <c r="I54" s="25" t="n">
        <v>2024</v>
      </c>
      <c r="J54" s="33" t="n">
        <v>192073.4</v>
      </c>
      <c r="K54" s="27" t="n">
        <v>8.66</v>
      </c>
      <c r="L54" s="32" t="n">
        <v>-113265.79</v>
      </c>
      <c r="M54" s="27" t="n">
        <v>-6.96</v>
      </c>
      <c r="N54" s="26" t="n">
        <v>590930.02</v>
      </c>
      <c r="O54" s="26" t="n">
        <v>896269.21</v>
      </c>
      <c r="P54" s="33" t="n">
        <v>305339.19</v>
      </c>
      <c r="Q54" s="27" t="n">
        <v>26.63</v>
      </c>
      <c r="R54" s="27" t="n">
        <v>37.18</v>
      </c>
    </row>
    <row r="55">
      <c r="A55" s="28" t="inlineStr">
        <is>
          <t>Mar</t>
        </is>
      </c>
      <c r="B55" s="28" t="n">
        <v>3</v>
      </c>
      <c r="C55" s="28" t="inlineStr">
        <is>
          <t>North America</t>
        </is>
      </c>
      <c r="D55" s="28" t="inlineStr">
        <is>
          <t>Real Estate</t>
        </is>
      </c>
      <c r="E55" s="29" t="n">
        <v>1951557.26</v>
      </c>
      <c r="F55" s="29" t="n">
        <v>2131475.87</v>
      </c>
      <c r="G55" s="29" t="n">
        <v>871962.13</v>
      </c>
      <c r="H55" s="29" t="n">
        <v>897213.0699999999</v>
      </c>
      <c r="I55" s="28" t="n">
        <v>2024</v>
      </c>
      <c r="J55" s="33" t="n">
        <v>179918.61</v>
      </c>
      <c r="K55" s="30" t="n">
        <v>9.220000000000001</v>
      </c>
      <c r="L55" s="33" t="n">
        <v>25250.94</v>
      </c>
      <c r="M55" s="30" t="n">
        <v>2.9</v>
      </c>
      <c r="N55" s="29" t="n">
        <v>1079595.13</v>
      </c>
      <c r="O55" s="29" t="n">
        <v>1234262.8</v>
      </c>
      <c r="P55" s="33" t="n">
        <v>154667.67</v>
      </c>
      <c r="Q55" s="30" t="n">
        <v>55.32</v>
      </c>
      <c r="R55" s="30" t="n">
        <v>57.91</v>
      </c>
    </row>
    <row r="56">
      <c r="A56" s="25" t="inlineStr">
        <is>
          <t>Mar</t>
        </is>
      </c>
      <c r="B56" s="25" t="n">
        <v>3</v>
      </c>
      <c r="C56" s="25" t="inlineStr">
        <is>
          <t>North America</t>
        </is>
      </c>
      <c r="D56" s="25" t="inlineStr">
        <is>
          <t>Hedge Funds</t>
        </is>
      </c>
      <c r="E56" s="26" t="n">
        <v>1554795.8</v>
      </c>
      <c r="F56" s="26" t="n">
        <v>1732492.55</v>
      </c>
      <c r="G56" s="26" t="n">
        <v>1122017.03</v>
      </c>
      <c r="H56" s="26" t="n">
        <v>1224726.34</v>
      </c>
      <c r="I56" s="25" t="n">
        <v>2024</v>
      </c>
      <c r="J56" s="33" t="n">
        <v>177696.75</v>
      </c>
      <c r="K56" s="27" t="n">
        <v>11.43</v>
      </c>
      <c r="L56" s="33" t="n">
        <v>102709.31</v>
      </c>
      <c r="M56" s="27" t="n">
        <v>9.15</v>
      </c>
      <c r="N56" s="26" t="n">
        <v>432778.77</v>
      </c>
      <c r="O56" s="26" t="n">
        <v>507766.21</v>
      </c>
      <c r="P56" s="33" t="n">
        <v>74987.44</v>
      </c>
      <c r="Q56" s="27" t="n">
        <v>27.84</v>
      </c>
      <c r="R56" s="27" t="n">
        <v>29.31</v>
      </c>
    </row>
    <row r="57">
      <c r="A57" s="28" t="inlineStr">
        <is>
          <t>Mar</t>
        </is>
      </c>
      <c r="B57" s="28" t="n">
        <v>3</v>
      </c>
      <c r="C57" s="28" t="inlineStr">
        <is>
          <t>North America</t>
        </is>
      </c>
      <c r="D57" s="28" t="inlineStr">
        <is>
          <t>Private Equity</t>
        </is>
      </c>
      <c r="E57" s="29" t="n">
        <v>873758.4</v>
      </c>
      <c r="F57" s="29" t="n">
        <v>964101.36</v>
      </c>
      <c r="G57" s="29" t="n">
        <v>643293.9</v>
      </c>
      <c r="H57" s="29" t="n">
        <v>699501.9399999999</v>
      </c>
      <c r="I57" s="28" t="n">
        <v>2024</v>
      </c>
      <c r="J57" s="33" t="n">
        <v>90342.96000000001</v>
      </c>
      <c r="K57" s="30" t="n">
        <v>10.34</v>
      </c>
      <c r="L57" s="33" t="n">
        <v>56208.04</v>
      </c>
      <c r="M57" s="30" t="n">
        <v>8.74</v>
      </c>
      <c r="N57" s="29" t="n">
        <v>230464.5</v>
      </c>
      <c r="O57" s="29" t="n">
        <v>264599.42</v>
      </c>
      <c r="P57" s="33" t="n">
        <v>34134.92</v>
      </c>
      <c r="Q57" s="30" t="n">
        <v>26.38</v>
      </c>
      <c r="R57" s="30" t="n">
        <v>27.45</v>
      </c>
    </row>
    <row r="58">
      <c r="A58" s="25" t="inlineStr">
        <is>
          <t>Mar</t>
        </is>
      </c>
      <c r="B58" s="25" t="n">
        <v>3</v>
      </c>
      <c r="C58" s="25" t="inlineStr">
        <is>
          <t>Europe</t>
        </is>
      </c>
      <c r="D58" s="25" t="inlineStr">
        <is>
          <t>Equity Funds</t>
        </is>
      </c>
      <c r="E58" s="26" t="n">
        <v>4446837.55</v>
      </c>
      <c r="F58" s="26" t="n">
        <v>4028581.13</v>
      </c>
      <c r="G58" s="26" t="n">
        <v>2394808.15</v>
      </c>
      <c r="H58" s="26" t="n">
        <v>2600911.04</v>
      </c>
      <c r="I58" s="25" t="n">
        <v>2024</v>
      </c>
      <c r="J58" s="32" t="n">
        <v>-418256.42</v>
      </c>
      <c r="K58" s="27" t="n">
        <v>-9.41</v>
      </c>
      <c r="L58" s="33" t="n">
        <v>206102.89</v>
      </c>
      <c r="M58" s="27" t="n">
        <v>8.609999999999999</v>
      </c>
      <c r="N58" s="26" t="n">
        <v>2052029.4</v>
      </c>
      <c r="O58" s="26" t="n">
        <v>1427670.09</v>
      </c>
      <c r="P58" s="32" t="n">
        <v>-624359.3100000001</v>
      </c>
      <c r="Q58" s="27" t="n">
        <v>46.15</v>
      </c>
      <c r="R58" s="27" t="n">
        <v>35.44</v>
      </c>
    </row>
    <row r="59">
      <c r="A59" s="28" t="inlineStr">
        <is>
          <t>Mar</t>
        </is>
      </c>
      <c r="B59" s="28" t="n">
        <v>3</v>
      </c>
      <c r="C59" s="28" t="inlineStr">
        <is>
          <t>Europe</t>
        </is>
      </c>
      <c r="D59" s="28" t="inlineStr">
        <is>
          <t>Fixed Income</t>
        </is>
      </c>
      <c r="E59" s="29" t="n">
        <v>1720453.02</v>
      </c>
      <c r="F59" s="29" t="n">
        <v>1640014.63</v>
      </c>
      <c r="G59" s="29" t="n">
        <v>1276434.95</v>
      </c>
      <c r="H59" s="29" t="n">
        <v>1192985.36</v>
      </c>
      <c r="I59" s="28" t="n">
        <v>2024</v>
      </c>
      <c r="J59" s="32" t="n">
        <v>-80438.39</v>
      </c>
      <c r="K59" s="30" t="n">
        <v>-4.68</v>
      </c>
      <c r="L59" s="32" t="n">
        <v>-83449.59</v>
      </c>
      <c r="M59" s="30" t="n">
        <v>-6.54</v>
      </c>
      <c r="N59" s="29" t="n">
        <v>444018.07</v>
      </c>
      <c r="O59" s="29" t="n">
        <v>447029.27</v>
      </c>
      <c r="P59" s="33" t="n">
        <v>3011.2</v>
      </c>
      <c r="Q59" s="30" t="n">
        <v>25.81</v>
      </c>
      <c r="R59" s="30" t="n">
        <v>27.26</v>
      </c>
    </row>
    <row r="60">
      <c r="A60" s="25" t="inlineStr">
        <is>
          <t>Mar</t>
        </is>
      </c>
      <c r="B60" s="25" t="n">
        <v>3</v>
      </c>
      <c r="C60" s="25" t="inlineStr">
        <is>
          <t>Europe</t>
        </is>
      </c>
      <c r="D60" s="25" t="inlineStr">
        <is>
          <t>Real Estate</t>
        </is>
      </c>
      <c r="E60" s="26" t="n">
        <v>868498.71</v>
      </c>
      <c r="F60" s="26" t="n">
        <v>944444.3199999999</v>
      </c>
      <c r="G60" s="26" t="n">
        <v>499493.82</v>
      </c>
      <c r="H60" s="26" t="n">
        <v>473015.65</v>
      </c>
      <c r="I60" s="25" t="n">
        <v>2024</v>
      </c>
      <c r="J60" s="33" t="n">
        <v>75945.61</v>
      </c>
      <c r="K60" s="27" t="n">
        <v>8.74</v>
      </c>
      <c r="L60" s="32" t="n">
        <v>-26478.17</v>
      </c>
      <c r="M60" s="27" t="n">
        <v>-5.3</v>
      </c>
      <c r="N60" s="26" t="n">
        <v>369004.89</v>
      </c>
      <c r="O60" s="26" t="n">
        <v>471428.67</v>
      </c>
      <c r="P60" s="33" t="n">
        <v>102423.78</v>
      </c>
      <c r="Q60" s="27" t="n">
        <v>42.49</v>
      </c>
      <c r="R60" s="27" t="n">
        <v>49.92</v>
      </c>
    </row>
    <row r="61">
      <c r="A61" s="28" t="inlineStr">
        <is>
          <t>Mar</t>
        </is>
      </c>
      <c r="B61" s="28" t="n">
        <v>3</v>
      </c>
      <c r="C61" s="28" t="inlineStr">
        <is>
          <t>Europe</t>
        </is>
      </c>
      <c r="D61" s="28" t="inlineStr">
        <is>
          <t>Hedge Funds</t>
        </is>
      </c>
      <c r="E61" s="29" t="n">
        <v>3830472.19</v>
      </c>
      <c r="F61" s="29" t="n">
        <v>3863765.8</v>
      </c>
      <c r="G61" s="29" t="n">
        <v>2166306.89</v>
      </c>
      <c r="H61" s="29" t="n">
        <v>1966317.81</v>
      </c>
      <c r="I61" s="28" t="n">
        <v>2024</v>
      </c>
      <c r="J61" s="33" t="n">
        <v>33293.61</v>
      </c>
      <c r="K61" s="30" t="n">
        <v>0.87</v>
      </c>
      <c r="L61" s="32" t="n">
        <v>-199989.08</v>
      </c>
      <c r="M61" s="30" t="n">
        <v>-9.23</v>
      </c>
      <c r="N61" s="29" t="n">
        <v>1664165.3</v>
      </c>
      <c r="O61" s="29" t="n">
        <v>1897447.99</v>
      </c>
      <c r="P61" s="33" t="n">
        <v>233282.69</v>
      </c>
      <c r="Q61" s="30" t="n">
        <v>43.45</v>
      </c>
      <c r="R61" s="30" t="n">
        <v>49.11</v>
      </c>
    </row>
    <row r="62">
      <c r="A62" s="25" t="inlineStr">
        <is>
          <t>Mar</t>
        </is>
      </c>
      <c r="B62" s="25" t="n">
        <v>3</v>
      </c>
      <c r="C62" s="25" t="inlineStr">
        <is>
          <t>Europe</t>
        </is>
      </c>
      <c r="D62" s="25" t="inlineStr">
        <is>
          <t>Private Equity</t>
        </is>
      </c>
      <c r="E62" s="26" t="n">
        <v>5326716.67</v>
      </c>
      <c r="F62" s="26" t="n">
        <v>5026886.05</v>
      </c>
      <c r="G62" s="26" t="n">
        <v>2262955.29</v>
      </c>
      <c r="H62" s="26" t="n">
        <v>2227416.26</v>
      </c>
      <c r="I62" s="25" t="n">
        <v>2024</v>
      </c>
      <c r="J62" s="32" t="n">
        <v>-299830.62</v>
      </c>
      <c r="K62" s="27" t="n">
        <v>-5.63</v>
      </c>
      <c r="L62" s="32" t="n">
        <v>-35539.03</v>
      </c>
      <c r="M62" s="27" t="n">
        <v>-1.57</v>
      </c>
      <c r="N62" s="26" t="n">
        <v>3063761.38</v>
      </c>
      <c r="O62" s="26" t="n">
        <v>2799469.79</v>
      </c>
      <c r="P62" s="32" t="n">
        <v>-264291.59</v>
      </c>
      <c r="Q62" s="27" t="n">
        <v>57.52</v>
      </c>
      <c r="R62" s="27" t="n">
        <v>55.69</v>
      </c>
    </row>
    <row r="63">
      <c r="A63" s="28" t="inlineStr">
        <is>
          <t>Mar</t>
        </is>
      </c>
      <c r="B63" s="28" t="n">
        <v>3</v>
      </c>
      <c r="C63" s="28" t="inlineStr">
        <is>
          <t>Asia Pacific</t>
        </is>
      </c>
      <c r="D63" s="28" t="inlineStr">
        <is>
          <t>Equity Funds</t>
        </is>
      </c>
      <c r="E63" s="29" t="n">
        <v>3941880.14</v>
      </c>
      <c r="F63" s="29" t="n">
        <v>3952686.94</v>
      </c>
      <c r="G63" s="29" t="n">
        <v>2051956.07</v>
      </c>
      <c r="H63" s="29" t="n">
        <v>2089673.34</v>
      </c>
      <c r="I63" s="28" t="n">
        <v>2024</v>
      </c>
      <c r="J63" s="33" t="n">
        <v>10806.8</v>
      </c>
      <c r="K63" s="30" t="n">
        <v>0.27</v>
      </c>
      <c r="L63" s="33" t="n">
        <v>37717.27</v>
      </c>
      <c r="M63" s="30" t="n">
        <v>1.84</v>
      </c>
      <c r="N63" s="29" t="n">
        <v>1889924.07</v>
      </c>
      <c r="O63" s="29" t="n">
        <v>1863013.6</v>
      </c>
      <c r="P63" s="32" t="n">
        <v>-26910.47</v>
      </c>
      <c r="Q63" s="30" t="n">
        <v>47.94</v>
      </c>
      <c r="R63" s="30" t="n">
        <v>47.13</v>
      </c>
    </row>
    <row r="64">
      <c r="A64" s="25" t="inlineStr">
        <is>
          <t>Mar</t>
        </is>
      </c>
      <c r="B64" s="25" t="n">
        <v>3</v>
      </c>
      <c r="C64" s="25" t="inlineStr">
        <is>
          <t>Asia Pacific</t>
        </is>
      </c>
      <c r="D64" s="25" t="inlineStr">
        <is>
          <t>Fixed Income</t>
        </is>
      </c>
      <c r="E64" s="26" t="n">
        <v>1683483.56</v>
      </c>
      <c r="F64" s="26" t="n">
        <v>1855431.27</v>
      </c>
      <c r="G64" s="26" t="n">
        <v>1248547.45</v>
      </c>
      <c r="H64" s="26" t="n">
        <v>1314299.95</v>
      </c>
      <c r="I64" s="25" t="n">
        <v>2024</v>
      </c>
      <c r="J64" s="33" t="n">
        <v>171947.71</v>
      </c>
      <c r="K64" s="27" t="n">
        <v>10.21</v>
      </c>
      <c r="L64" s="33" t="n">
        <v>65752.5</v>
      </c>
      <c r="M64" s="27" t="n">
        <v>5.27</v>
      </c>
      <c r="N64" s="26" t="n">
        <v>434936.11</v>
      </c>
      <c r="O64" s="26" t="n">
        <v>541131.3199999999</v>
      </c>
      <c r="P64" s="33" t="n">
        <v>106195.21</v>
      </c>
      <c r="Q64" s="27" t="n">
        <v>25.84</v>
      </c>
      <c r="R64" s="27" t="n">
        <v>29.16</v>
      </c>
    </row>
    <row r="65">
      <c r="A65" s="28" t="inlineStr">
        <is>
          <t>Mar</t>
        </is>
      </c>
      <c r="B65" s="28" t="n">
        <v>3</v>
      </c>
      <c r="C65" s="28" t="inlineStr">
        <is>
          <t>Asia Pacific</t>
        </is>
      </c>
      <c r="D65" s="28" t="inlineStr">
        <is>
          <t>Real Estate</t>
        </is>
      </c>
      <c r="E65" s="29" t="n">
        <v>3809843.42</v>
      </c>
      <c r="F65" s="29" t="n">
        <v>3416643.63</v>
      </c>
      <c r="G65" s="29" t="n">
        <v>2633945.38</v>
      </c>
      <c r="H65" s="29" t="n">
        <v>2526606.86</v>
      </c>
      <c r="I65" s="28" t="n">
        <v>2024</v>
      </c>
      <c r="J65" s="32" t="n">
        <v>-393199.79</v>
      </c>
      <c r="K65" s="30" t="n">
        <v>-10.32</v>
      </c>
      <c r="L65" s="32" t="n">
        <v>-107338.52</v>
      </c>
      <c r="M65" s="30" t="n">
        <v>-4.08</v>
      </c>
      <c r="N65" s="29" t="n">
        <v>1175898.04</v>
      </c>
      <c r="O65" s="29" t="n">
        <v>890036.77</v>
      </c>
      <c r="P65" s="32" t="n">
        <v>-285861.27</v>
      </c>
      <c r="Q65" s="30" t="n">
        <v>30.86</v>
      </c>
      <c r="R65" s="30" t="n">
        <v>26.05</v>
      </c>
    </row>
    <row r="66">
      <c r="A66" s="25" t="inlineStr">
        <is>
          <t>Mar</t>
        </is>
      </c>
      <c r="B66" s="25" t="n">
        <v>3</v>
      </c>
      <c r="C66" s="25" t="inlineStr">
        <is>
          <t>Asia Pacific</t>
        </is>
      </c>
      <c r="D66" s="25" t="inlineStr">
        <is>
          <t>Hedge Funds</t>
        </is>
      </c>
      <c r="E66" s="26" t="n">
        <v>2211553.2</v>
      </c>
      <c r="F66" s="26" t="n">
        <v>2105569.7</v>
      </c>
      <c r="G66" s="26" t="n">
        <v>1435324.15</v>
      </c>
      <c r="H66" s="26" t="n">
        <v>1403767.54</v>
      </c>
      <c r="I66" s="25" t="n">
        <v>2024</v>
      </c>
      <c r="J66" s="32" t="n">
        <v>-105983.5</v>
      </c>
      <c r="K66" s="27" t="n">
        <v>-4.79</v>
      </c>
      <c r="L66" s="32" t="n">
        <v>-31556.61</v>
      </c>
      <c r="M66" s="27" t="n">
        <v>-2.2</v>
      </c>
      <c r="N66" s="26" t="n">
        <v>776229.05</v>
      </c>
      <c r="O66" s="26" t="n">
        <v>701802.16</v>
      </c>
      <c r="P66" s="32" t="n">
        <v>-74426.89</v>
      </c>
      <c r="Q66" s="27" t="n">
        <v>35.1</v>
      </c>
      <c r="R66" s="27" t="n">
        <v>33.33</v>
      </c>
    </row>
    <row r="67">
      <c r="A67" s="28" t="inlineStr">
        <is>
          <t>Mar</t>
        </is>
      </c>
      <c r="B67" s="28" t="n">
        <v>3</v>
      </c>
      <c r="C67" s="28" t="inlineStr">
        <is>
          <t>Asia Pacific</t>
        </is>
      </c>
      <c r="D67" s="28" t="inlineStr">
        <is>
          <t>Private Equity</t>
        </is>
      </c>
      <c r="E67" s="29" t="n">
        <v>2304464.86</v>
      </c>
      <c r="F67" s="29" t="n">
        <v>2260465.99</v>
      </c>
      <c r="G67" s="29" t="n">
        <v>1459539.03</v>
      </c>
      <c r="H67" s="29" t="n">
        <v>1521651.62</v>
      </c>
      <c r="I67" s="28" t="n">
        <v>2024</v>
      </c>
      <c r="J67" s="32" t="n">
        <v>-43998.87</v>
      </c>
      <c r="K67" s="30" t="n">
        <v>-1.91</v>
      </c>
      <c r="L67" s="33" t="n">
        <v>62112.59</v>
      </c>
      <c r="M67" s="30" t="n">
        <v>4.26</v>
      </c>
      <c r="N67" s="29" t="n">
        <v>844925.83</v>
      </c>
      <c r="O67" s="29" t="n">
        <v>738814.37</v>
      </c>
      <c r="P67" s="32" t="n">
        <v>-106111.46</v>
      </c>
      <c r="Q67" s="30" t="n">
        <v>36.66</v>
      </c>
      <c r="R67" s="30" t="n">
        <v>32.68</v>
      </c>
    </row>
    <row r="68">
      <c r="A68" s="25" t="inlineStr">
        <is>
          <t>Mar</t>
        </is>
      </c>
      <c r="B68" s="25" t="n">
        <v>3</v>
      </c>
      <c r="C68" s="25" t="inlineStr">
        <is>
          <t>Latin America</t>
        </is>
      </c>
      <c r="D68" s="25" t="inlineStr">
        <is>
          <t>Equity Funds</t>
        </is>
      </c>
      <c r="E68" s="26" t="n">
        <v>4408984.28</v>
      </c>
      <c r="F68" s="26" t="n">
        <v>4459709.34</v>
      </c>
      <c r="G68" s="26" t="n">
        <v>2623012.83</v>
      </c>
      <c r="H68" s="26" t="n">
        <v>2488870.1</v>
      </c>
      <c r="I68" s="25" t="n">
        <v>2024</v>
      </c>
      <c r="J68" s="33" t="n">
        <v>50725.06</v>
      </c>
      <c r="K68" s="27" t="n">
        <v>1.15</v>
      </c>
      <c r="L68" s="32" t="n">
        <v>-134142.73</v>
      </c>
      <c r="M68" s="27" t="n">
        <v>-5.11</v>
      </c>
      <c r="N68" s="26" t="n">
        <v>1785971.45</v>
      </c>
      <c r="O68" s="26" t="n">
        <v>1970839.24</v>
      </c>
      <c r="P68" s="33" t="n">
        <v>184867.79</v>
      </c>
      <c r="Q68" s="27" t="n">
        <v>40.51</v>
      </c>
      <c r="R68" s="27" t="n">
        <v>44.19</v>
      </c>
    </row>
    <row r="69">
      <c r="A69" s="28" t="inlineStr">
        <is>
          <t>Mar</t>
        </is>
      </c>
      <c r="B69" s="28" t="n">
        <v>3</v>
      </c>
      <c r="C69" s="28" t="inlineStr">
        <is>
          <t>Latin America</t>
        </is>
      </c>
      <c r="D69" s="28" t="inlineStr">
        <is>
          <t>Fixed Income</t>
        </is>
      </c>
      <c r="E69" s="29" t="n">
        <v>2686148.27</v>
      </c>
      <c r="F69" s="29" t="n">
        <v>2663577.01</v>
      </c>
      <c r="G69" s="29" t="n">
        <v>1607031.2</v>
      </c>
      <c r="H69" s="29" t="n">
        <v>1496609.41</v>
      </c>
      <c r="I69" s="28" t="n">
        <v>2024</v>
      </c>
      <c r="J69" s="32" t="n">
        <v>-22571.26</v>
      </c>
      <c r="K69" s="30" t="n">
        <v>-0.84</v>
      </c>
      <c r="L69" s="32" t="n">
        <v>-110421.79</v>
      </c>
      <c r="M69" s="30" t="n">
        <v>-6.87</v>
      </c>
      <c r="N69" s="29" t="n">
        <v>1079117.07</v>
      </c>
      <c r="O69" s="29" t="n">
        <v>1166967.6</v>
      </c>
      <c r="P69" s="33" t="n">
        <v>87850.53</v>
      </c>
      <c r="Q69" s="30" t="n">
        <v>40.17</v>
      </c>
      <c r="R69" s="30" t="n">
        <v>43.81</v>
      </c>
    </row>
    <row r="70">
      <c r="A70" s="25" t="inlineStr">
        <is>
          <t>Mar</t>
        </is>
      </c>
      <c r="B70" s="25" t="n">
        <v>3</v>
      </c>
      <c r="C70" s="25" t="inlineStr">
        <is>
          <t>Latin America</t>
        </is>
      </c>
      <c r="D70" s="25" t="inlineStr">
        <is>
          <t>Real Estate</t>
        </is>
      </c>
      <c r="E70" s="26" t="n">
        <v>2952408.8</v>
      </c>
      <c r="F70" s="26" t="n">
        <v>2718359.35</v>
      </c>
      <c r="G70" s="26" t="n">
        <v>1841164.44</v>
      </c>
      <c r="H70" s="26" t="n">
        <v>1847992.37</v>
      </c>
      <c r="I70" s="25" t="n">
        <v>2024</v>
      </c>
      <c r="J70" s="32" t="n">
        <v>-234049.45</v>
      </c>
      <c r="K70" s="27" t="n">
        <v>-7.93</v>
      </c>
      <c r="L70" s="33" t="n">
        <v>6827.93</v>
      </c>
      <c r="M70" s="27" t="n">
        <v>0.37</v>
      </c>
      <c r="N70" s="26" t="n">
        <v>1111244.36</v>
      </c>
      <c r="O70" s="26" t="n">
        <v>870366.98</v>
      </c>
      <c r="P70" s="32" t="n">
        <v>-240877.38</v>
      </c>
      <c r="Q70" s="27" t="n">
        <v>37.64</v>
      </c>
      <c r="R70" s="27" t="n">
        <v>32.02</v>
      </c>
    </row>
    <row r="71">
      <c r="A71" s="28" t="inlineStr">
        <is>
          <t>Mar</t>
        </is>
      </c>
      <c r="B71" s="28" t="n">
        <v>3</v>
      </c>
      <c r="C71" s="28" t="inlineStr">
        <is>
          <t>Latin America</t>
        </is>
      </c>
      <c r="D71" s="28" t="inlineStr">
        <is>
          <t>Hedge Funds</t>
        </is>
      </c>
      <c r="E71" s="29" t="n">
        <v>3678595.65</v>
      </c>
      <c r="F71" s="29" t="n">
        <v>3900316.21</v>
      </c>
      <c r="G71" s="29" t="n">
        <v>1969819.08</v>
      </c>
      <c r="H71" s="29" t="n">
        <v>1839641.14</v>
      </c>
      <c r="I71" s="28" t="n">
        <v>2024</v>
      </c>
      <c r="J71" s="33" t="n">
        <v>221720.56</v>
      </c>
      <c r="K71" s="30" t="n">
        <v>6.03</v>
      </c>
      <c r="L71" s="32" t="n">
        <v>-130177.94</v>
      </c>
      <c r="M71" s="30" t="n">
        <v>-6.61</v>
      </c>
      <c r="N71" s="29" t="n">
        <v>1708776.57</v>
      </c>
      <c r="O71" s="29" t="n">
        <v>2060675.07</v>
      </c>
      <c r="P71" s="33" t="n">
        <v>351898.5</v>
      </c>
      <c r="Q71" s="30" t="n">
        <v>46.45</v>
      </c>
      <c r="R71" s="30" t="n">
        <v>52.83</v>
      </c>
    </row>
    <row r="72">
      <c r="A72" s="25" t="inlineStr">
        <is>
          <t>Mar</t>
        </is>
      </c>
      <c r="B72" s="25" t="n">
        <v>3</v>
      </c>
      <c r="C72" s="25" t="inlineStr">
        <is>
          <t>Latin America</t>
        </is>
      </c>
      <c r="D72" s="25" t="inlineStr">
        <is>
          <t>Private Equity</t>
        </is>
      </c>
      <c r="E72" s="26" t="n">
        <v>1552840.56</v>
      </c>
      <c r="F72" s="26" t="n">
        <v>1543574.33</v>
      </c>
      <c r="G72" s="26" t="n">
        <v>800691.05</v>
      </c>
      <c r="H72" s="26" t="n">
        <v>718603.22</v>
      </c>
      <c r="I72" s="25" t="n">
        <v>2024</v>
      </c>
      <c r="J72" s="32" t="n">
        <v>-9266.23</v>
      </c>
      <c r="K72" s="27" t="n">
        <v>-0.6</v>
      </c>
      <c r="L72" s="32" t="n">
        <v>-82087.83</v>
      </c>
      <c r="M72" s="27" t="n">
        <v>-10.25</v>
      </c>
      <c r="N72" s="26" t="n">
        <v>752149.51</v>
      </c>
      <c r="O72" s="26" t="n">
        <v>824971.11</v>
      </c>
      <c r="P72" s="33" t="n">
        <v>72821.60000000001</v>
      </c>
      <c r="Q72" s="27" t="n">
        <v>48.44</v>
      </c>
      <c r="R72" s="27" t="n">
        <v>53.45</v>
      </c>
    </row>
    <row r="73">
      <c r="A73" s="28" t="inlineStr">
        <is>
          <t>Mar</t>
        </is>
      </c>
      <c r="B73" s="28" t="n">
        <v>3</v>
      </c>
      <c r="C73" s="28" t="inlineStr">
        <is>
          <t>Middle East</t>
        </is>
      </c>
      <c r="D73" s="28" t="inlineStr">
        <is>
          <t>Equity Funds</t>
        </is>
      </c>
      <c r="E73" s="29" t="n">
        <v>2385385.49</v>
      </c>
      <c r="F73" s="29" t="n">
        <v>2497796.83</v>
      </c>
      <c r="G73" s="29" t="n">
        <v>1621472.45</v>
      </c>
      <c r="H73" s="29" t="n">
        <v>1521843.13</v>
      </c>
      <c r="I73" s="28" t="n">
        <v>2024</v>
      </c>
      <c r="J73" s="33" t="n">
        <v>112411.34</v>
      </c>
      <c r="K73" s="30" t="n">
        <v>4.71</v>
      </c>
      <c r="L73" s="32" t="n">
        <v>-99629.32000000001</v>
      </c>
      <c r="M73" s="30" t="n">
        <v>-6.14</v>
      </c>
      <c r="N73" s="29" t="n">
        <v>763913.04</v>
      </c>
      <c r="O73" s="29" t="n">
        <v>975953.7</v>
      </c>
      <c r="P73" s="33" t="n">
        <v>212040.66</v>
      </c>
      <c r="Q73" s="30" t="n">
        <v>32.02</v>
      </c>
      <c r="R73" s="30" t="n">
        <v>39.07</v>
      </c>
    </row>
    <row r="74">
      <c r="A74" s="25" t="inlineStr">
        <is>
          <t>Mar</t>
        </is>
      </c>
      <c r="B74" s="25" t="n">
        <v>3</v>
      </c>
      <c r="C74" s="25" t="inlineStr">
        <is>
          <t>Middle East</t>
        </is>
      </c>
      <c r="D74" s="25" t="inlineStr">
        <is>
          <t>Fixed Income</t>
        </is>
      </c>
      <c r="E74" s="26" t="n">
        <v>3733901.66</v>
      </c>
      <c r="F74" s="26" t="n">
        <v>3975899.88</v>
      </c>
      <c r="G74" s="26" t="n">
        <v>1479510.47</v>
      </c>
      <c r="H74" s="26" t="n">
        <v>1452931.19</v>
      </c>
      <c r="I74" s="25" t="n">
        <v>2024</v>
      </c>
      <c r="J74" s="33" t="n">
        <v>241998.22</v>
      </c>
      <c r="K74" s="27" t="n">
        <v>6.48</v>
      </c>
      <c r="L74" s="32" t="n">
        <v>-26579.28</v>
      </c>
      <c r="M74" s="27" t="n">
        <v>-1.8</v>
      </c>
      <c r="N74" s="26" t="n">
        <v>2254391.19</v>
      </c>
      <c r="O74" s="26" t="n">
        <v>2522968.69</v>
      </c>
      <c r="P74" s="33" t="n">
        <v>268577.5</v>
      </c>
      <c r="Q74" s="27" t="n">
        <v>60.38</v>
      </c>
      <c r="R74" s="27" t="n">
        <v>63.46</v>
      </c>
    </row>
    <row r="75">
      <c r="A75" s="28" t="inlineStr">
        <is>
          <t>Mar</t>
        </is>
      </c>
      <c r="B75" s="28" t="n">
        <v>3</v>
      </c>
      <c r="C75" s="28" t="inlineStr">
        <is>
          <t>Middle East</t>
        </is>
      </c>
      <c r="D75" s="28" t="inlineStr">
        <is>
          <t>Real Estate</t>
        </is>
      </c>
      <c r="E75" s="29" t="n">
        <v>1544250.47</v>
      </c>
      <c r="F75" s="29" t="n">
        <v>1377552.36</v>
      </c>
      <c r="G75" s="29" t="n">
        <v>1077725.54</v>
      </c>
      <c r="H75" s="29" t="n">
        <v>1167824.17</v>
      </c>
      <c r="I75" s="28" t="n">
        <v>2024</v>
      </c>
      <c r="J75" s="32" t="n">
        <v>-166698.11</v>
      </c>
      <c r="K75" s="30" t="n">
        <v>-10.79</v>
      </c>
      <c r="L75" s="33" t="n">
        <v>90098.63</v>
      </c>
      <c r="M75" s="30" t="n">
        <v>8.359999999999999</v>
      </c>
      <c r="N75" s="29" t="n">
        <v>466524.93</v>
      </c>
      <c r="O75" s="29" t="n">
        <v>209728.19</v>
      </c>
      <c r="P75" s="32" t="n">
        <v>-256796.74</v>
      </c>
      <c r="Q75" s="30" t="n">
        <v>30.21</v>
      </c>
      <c r="R75" s="30" t="n">
        <v>15.22</v>
      </c>
    </row>
    <row r="76">
      <c r="A76" s="25" t="inlineStr">
        <is>
          <t>Mar</t>
        </is>
      </c>
      <c r="B76" s="25" t="n">
        <v>3</v>
      </c>
      <c r="C76" s="25" t="inlineStr">
        <is>
          <t>Middle East</t>
        </is>
      </c>
      <c r="D76" s="25" t="inlineStr">
        <is>
          <t>Hedge Funds</t>
        </is>
      </c>
      <c r="E76" s="26" t="n">
        <v>2808206.09</v>
      </c>
      <c r="F76" s="26" t="n">
        <v>3137030.7</v>
      </c>
      <c r="G76" s="26" t="n">
        <v>1911794.45</v>
      </c>
      <c r="H76" s="26" t="n">
        <v>2118286.42</v>
      </c>
      <c r="I76" s="25" t="n">
        <v>2024</v>
      </c>
      <c r="J76" s="33" t="n">
        <v>328824.61</v>
      </c>
      <c r="K76" s="27" t="n">
        <v>11.71</v>
      </c>
      <c r="L76" s="33" t="n">
        <v>206491.97</v>
      </c>
      <c r="M76" s="27" t="n">
        <v>10.8</v>
      </c>
      <c r="N76" s="26" t="n">
        <v>896411.64</v>
      </c>
      <c r="O76" s="26" t="n">
        <v>1018744.28</v>
      </c>
      <c r="P76" s="33" t="n">
        <v>122332.64</v>
      </c>
      <c r="Q76" s="27" t="n">
        <v>31.92</v>
      </c>
      <c r="R76" s="27" t="n">
        <v>32.47</v>
      </c>
    </row>
    <row r="77">
      <c r="A77" s="28" t="inlineStr">
        <is>
          <t>Mar</t>
        </is>
      </c>
      <c r="B77" s="28" t="n">
        <v>3</v>
      </c>
      <c r="C77" s="28" t="inlineStr">
        <is>
          <t>Middle East</t>
        </is>
      </c>
      <c r="D77" s="28" t="inlineStr">
        <is>
          <t>Private Equity</t>
        </is>
      </c>
      <c r="E77" s="29" t="n">
        <v>4743264.58</v>
      </c>
      <c r="F77" s="29" t="n">
        <v>4748703.96</v>
      </c>
      <c r="G77" s="29" t="n">
        <v>3070365.84</v>
      </c>
      <c r="H77" s="29" t="n">
        <v>3105642.1</v>
      </c>
      <c r="I77" s="28" t="n">
        <v>2024</v>
      </c>
      <c r="J77" s="33" t="n">
        <v>5439.38</v>
      </c>
      <c r="K77" s="30" t="n">
        <v>0.11</v>
      </c>
      <c r="L77" s="33" t="n">
        <v>35276.26</v>
      </c>
      <c r="M77" s="30" t="n">
        <v>1.15</v>
      </c>
      <c r="N77" s="29" t="n">
        <v>1672898.74</v>
      </c>
      <c r="O77" s="29" t="n">
        <v>1643061.86</v>
      </c>
      <c r="P77" s="32" t="n">
        <v>-29836.88</v>
      </c>
      <c r="Q77" s="30" t="n">
        <v>35.27</v>
      </c>
      <c r="R77" s="30" t="n">
        <v>34.6</v>
      </c>
    </row>
    <row r="78">
      <c r="A78" s="25" t="inlineStr">
        <is>
          <t>Apr</t>
        </is>
      </c>
      <c r="B78" s="25" t="n">
        <v>4</v>
      </c>
      <c r="C78" s="25" t="inlineStr">
        <is>
          <t>North America</t>
        </is>
      </c>
      <c r="D78" s="25" t="inlineStr">
        <is>
          <t>Equity Funds</t>
        </is>
      </c>
      <c r="E78" s="26" t="n">
        <v>4545135.21</v>
      </c>
      <c r="F78" s="26" t="n">
        <v>4282453.54</v>
      </c>
      <c r="G78" s="26" t="n">
        <v>2919447.87</v>
      </c>
      <c r="H78" s="26" t="n">
        <v>3015902.76</v>
      </c>
      <c r="I78" s="25" t="n">
        <v>2024</v>
      </c>
      <c r="J78" s="32" t="n">
        <v>-262681.67</v>
      </c>
      <c r="K78" s="27" t="n">
        <v>-5.78</v>
      </c>
      <c r="L78" s="33" t="n">
        <v>96454.89</v>
      </c>
      <c r="M78" s="27" t="n">
        <v>3.3</v>
      </c>
      <c r="N78" s="26" t="n">
        <v>1625687.34</v>
      </c>
      <c r="O78" s="26" t="n">
        <v>1266550.78</v>
      </c>
      <c r="P78" s="32" t="n">
        <v>-359136.56</v>
      </c>
      <c r="Q78" s="27" t="n">
        <v>35.77</v>
      </c>
      <c r="R78" s="27" t="n">
        <v>29.58</v>
      </c>
    </row>
    <row r="79">
      <c r="A79" s="28" t="inlineStr">
        <is>
          <t>Apr</t>
        </is>
      </c>
      <c r="B79" s="28" t="n">
        <v>4</v>
      </c>
      <c r="C79" s="28" t="inlineStr">
        <is>
          <t>North America</t>
        </is>
      </c>
      <c r="D79" s="28" t="inlineStr">
        <is>
          <t>Fixed Income</t>
        </is>
      </c>
      <c r="E79" s="29" t="n">
        <v>4118232.4</v>
      </c>
      <c r="F79" s="29" t="n">
        <v>3895449.98</v>
      </c>
      <c r="G79" s="29" t="n">
        <v>2229706.03</v>
      </c>
      <c r="H79" s="29" t="n">
        <v>2115042.85</v>
      </c>
      <c r="I79" s="28" t="n">
        <v>2024</v>
      </c>
      <c r="J79" s="32" t="n">
        <v>-222782.42</v>
      </c>
      <c r="K79" s="30" t="n">
        <v>-5.41</v>
      </c>
      <c r="L79" s="32" t="n">
        <v>-114663.18</v>
      </c>
      <c r="M79" s="30" t="n">
        <v>-5.14</v>
      </c>
      <c r="N79" s="29" t="n">
        <v>1888526.37</v>
      </c>
      <c r="O79" s="29" t="n">
        <v>1780407.13</v>
      </c>
      <c r="P79" s="32" t="n">
        <v>-108119.24</v>
      </c>
      <c r="Q79" s="30" t="n">
        <v>45.86</v>
      </c>
      <c r="R79" s="30" t="n">
        <v>45.7</v>
      </c>
    </row>
    <row r="80">
      <c r="A80" s="25" t="inlineStr">
        <is>
          <t>Apr</t>
        </is>
      </c>
      <c r="B80" s="25" t="n">
        <v>4</v>
      </c>
      <c r="C80" s="25" t="inlineStr">
        <is>
          <t>North America</t>
        </is>
      </c>
      <c r="D80" s="25" t="inlineStr">
        <is>
          <t>Real Estate</t>
        </is>
      </c>
      <c r="E80" s="26" t="n">
        <v>1956792.18</v>
      </c>
      <c r="F80" s="26" t="n">
        <v>1786961.75</v>
      </c>
      <c r="G80" s="26" t="n">
        <v>1002770</v>
      </c>
      <c r="H80" s="26" t="n">
        <v>1049446.89</v>
      </c>
      <c r="I80" s="25" t="n">
        <v>2024</v>
      </c>
      <c r="J80" s="32" t="n">
        <v>-169830.43</v>
      </c>
      <c r="K80" s="27" t="n">
        <v>-8.68</v>
      </c>
      <c r="L80" s="33" t="n">
        <v>46676.89</v>
      </c>
      <c r="M80" s="27" t="n">
        <v>4.65</v>
      </c>
      <c r="N80" s="26" t="n">
        <v>954022.1800000001</v>
      </c>
      <c r="O80" s="26" t="n">
        <v>737514.86</v>
      </c>
      <c r="P80" s="32" t="n">
        <v>-216507.32</v>
      </c>
      <c r="Q80" s="27" t="n">
        <v>48.75</v>
      </c>
      <c r="R80" s="27" t="n">
        <v>41.27</v>
      </c>
    </row>
    <row r="81">
      <c r="A81" s="28" t="inlineStr">
        <is>
          <t>Apr</t>
        </is>
      </c>
      <c r="B81" s="28" t="n">
        <v>4</v>
      </c>
      <c r="C81" s="28" t="inlineStr">
        <is>
          <t>North America</t>
        </is>
      </c>
      <c r="D81" s="28" t="inlineStr">
        <is>
          <t>Hedge Funds</t>
        </is>
      </c>
      <c r="E81" s="29" t="n">
        <v>3697346.49</v>
      </c>
      <c r="F81" s="29" t="n">
        <v>3735158.05</v>
      </c>
      <c r="G81" s="29" t="n">
        <v>1737938.98</v>
      </c>
      <c r="H81" s="29" t="n">
        <v>1615658.03</v>
      </c>
      <c r="I81" s="28" t="n">
        <v>2024</v>
      </c>
      <c r="J81" s="33" t="n">
        <v>37811.56</v>
      </c>
      <c r="K81" s="30" t="n">
        <v>1.02</v>
      </c>
      <c r="L81" s="32" t="n">
        <v>-122280.95</v>
      </c>
      <c r="M81" s="30" t="n">
        <v>-7.04</v>
      </c>
      <c r="N81" s="29" t="n">
        <v>1959407.51</v>
      </c>
      <c r="O81" s="29" t="n">
        <v>2119500.02</v>
      </c>
      <c r="P81" s="33" t="n">
        <v>160092.51</v>
      </c>
      <c r="Q81" s="30" t="n">
        <v>52.99</v>
      </c>
      <c r="R81" s="30" t="n">
        <v>56.74</v>
      </c>
    </row>
    <row r="82">
      <c r="A82" s="25" t="inlineStr">
        <is>
          <t>Apr</t>
        </is>
      </c>
      <c r="B82" s="25" t="n">
        <v>4</v>
      </c>
      <c r="C82" s="25" t="inlineStr">
        <is>
          <t>North America</t>
        </is>
      </c>
      <c r="D82" s="25" t="inlineStr">
        <is>
          <t>Private Equity</t>
        </is>
      </c>
      <c r="E82" s="26" t="n">
        <v>2607728.83</v>
      </c>
      <c r="F82" s="26" t="n">
        <v>2730097.85</v>
      </c>
      <c r="G82" s="26" t="n">
        <v>1982244.36</v>
      </c>
      <c r="H82" s="26" t="n">
        <v>2108597.96</v>
      </c>
      <c r="I82" s="25" t="n">
        <v>2024</v>
      </c>
      <c r="J82" s="33" t="n">
        <v>122369.02</v>
      </c>
      <c r="K82" s="27" t="n">
        <v>4.69</v>
      </c>
      <c r="L82" s="33" t="n">
        <v>126353.6</v>
      </c>
      <c r="M82" s="27" t="n">
        <v>6.37</v>
      </c>
      <c r="N82" s="26" t="n">
        <v>625484.47</v>
      </c>
      <c r="O82" s="26" t="n">
        <v>621499.89</v>
      </c>
      <c r="P82" s="32" t="n">
        <v>-3984.58</v>
      </c>
      <c r="Q82" s="27" t="n">
        <v>23.99</v>
      </c>
      <c r="R82" s="27" t="n">
        <v>22.76</v>
      </c>
    </row>
    <row r="83">
      <c r="A83" s="28" t="inlineStr">
        <is>
          <t>Apr</t>
        </is>
      </c>
      <c r="B83" s="28" t="n">
        <v>4</v>
      </c>
      <c r="C83" s="28" t="inlineStr">
        <is>
          <t>Europe</t>
        </is>
      </c>
      <c r="D83" s="28" t="inlineStr">
        <is>
          <t>Equity Funds</t>
        </is>
      </c>
      <c r="E83" s="29" t="n">
        <v>2326515.69</v>
      </c>
      <c r="F83" s="29" t="n">
        <v>2468047.02</v>
      </c>
      <c r="G83" s="29" t="n">
        <v>1159729.29</v>
      </c>
      <c r="H83" s="29" t="n">
        <v>1285934.84</v>
      </c>
      <c r="I83" s="28" t="n">
        <v>2024</v>
      </c>
      <c r="J83" s="33" t="n">
        <v>141531.33</v>
      </c>
      <c r="K83" s="30" t="n">
        <v>6.08</v>
      </c>
      <c r="L83" s="33" t="n">
        <v>126205.55</v>
      </c>
      <c r="M83" s="30" t="n">
        <v>10.88</v>
      </c>
      <c r="N83" s="29" t="n">
        <v>1166786.4</v>
      </c>
      <c r="O83" s="29" t="n">
        <v>1182112.18</v>
      </c>
      <c r="P83" s="33" t="n">
        <v>15325.78</v>
      </c>
      <c r="Q83" s="30" t="n">
        <v>50.15</v>
      </c>
      <c r="R83" s="30" t="n">
        <v>47.9</v>
      </c>
    </row>
    <row r="84">
      <c r="A84" s="25" t="inlineStr">
        <is>
          <t>Apr</t>
        </is>
      </c>
      <c r="B84" s="25" t="n">
        <v>4</v>
      </c>
      <c r="C84" s="25" t="inlineStr">
        <is>
          <t>Europe</t>
        </is>
      </c>
      <c r="D84" s="25" t="inlineStr">
        <is>
          <t>Fixed Income</t>
        </is>
      </c>
      <c r="E84" s="26" t="n">
        <v>2583508.11</v>
      </c>
      <c r="F84" s="26" t="n">
        <v>2647529.05</v>
      </c>
      <c r="G84" s="26" t="n">
        <v>1629546.43</v>
      </c>
      <c r="H84" s="26" t="n">
        <v>1519814.72</v>
      </c>
      <c r="I84" s="25" t="n">
        <v>2024</v>
      </c>
      <c r="J84" s="33" t="n">
        <v>64020.94</v>
      </c>
      <c r="K84" s="27" t="n">
        <v>2.48</v>
      </c>
      <c r="L84" s="32" t="n">
        <v>-109731.71</v>
      </c>
      <c r="M84" s="27" t="n">
        <v>-6.73</v>
      </c>
      <c r="N84" s="26" t="n">
        <v>953961.6800000001</v>
      </c>
      <c r="O84" s="26" t="n">
        <v>1127714.33</v>
      </c>
      <c r="P84" s="33" t="n">
        <v>173752.65</v>
      </c>
      <c r="Q84" s="27" t="n">
        <v>36.93</v>
      </c>
      <c r="R84" s="27" t="n">
        <v>42.59</v>
      </c>
    </row>
    <row r="85">
      <c r="A85" s="28" t="inlineStr">
        <is>
          <t>Apr</t>
        </is>
      </c>
      <c r="B85" s="28" t="n">
        <v>4</v>
      </c>
      <c r="C85" s="28" t="inlineStr">
        <is>
          <t>Europe</t>
        </is>
      </c>
      <c r="D85" s="28" t="inlineStr">
        <is>
          <t>Real Estate</t>
        </is>
      </c>
      <c r="E85" s="29" t="n">
        <v>2544298.49</v>
      </c>
      <c r="F85" s="29" t="n">
        <v>2653688.19</v>
      </c>
      <c r="G85" s="29" t="n">
        <v>1183544.06</v>
      </c>
      <c r="H85" s="29" t="n">
        <v>1088399.82</v>
      </c>
      <c r="I85" s="28" t="n">
        <v>2024</v>
      </c>
      <c r="J85" s="33" t="n">
        <v>109389.7</v>
      </c>
      <c r="K85" s="30" t="n">
        <v>4.3</v>
      </c>
      <c r="L85" s="32" t="n">
        <v>-95144.24000000001</v>
      </c>
      <c r="M85" s="30" t="n">
        <v>-8.039999999999999</v>
      </c>
      <c r="N85" s="29" t="n">
        <v>1360754.43</v>
      </c>
      <c r="O85" s="29" t="n">
        <v>1565288.37</v>
      </c>
      <c r="P85" s="33" t="n">
        <v>204533.94</v>
      </c>
      <c r="Q85" s="30" t="n">
        <v>53.48</v>
      </c>
      <c r="R85" s="30" t="n">
        <v>58.99</v>
      </c>
    </row>
    <row r="86">
      <c r="A86" s="25" t="inlineStr">
        <is>
          <t>Apr</t>
        </is>
      </c>
      <c r="B86" s="25" t="n">
        <v>4</v>
      </c>
      <c r="C86" s="25" t="inlineStr">
        <is>
          <t>Europe</t>
        </is>
      </c>
      <c r="D86" s="25" t="inlineStr">
        <is>
          <t>Hedge Funds</t>
        </is>
      </c>
      <c r="E86" s="26" t="n">
        <v>2830598.77</v>
      </c>
      <c r="F86" s="26" t="n">
        <v>2509246.41</v>
      </c>
      <c r="G86" s="26" t="n">
        <v>1320562.83</v>
      </c>
      <c r="H86" s="26" t="n">
        <v>1340970.91</v>
      </c>
      <c r="I86" s="25" t="n">
        <v>2024</v>
      </c>
      <c r="J86" s="32" t="n">
        <v>-321352.36</v>
      </c>
      <c r="K86" s="27" t="n">
        <v>-11.35</v>
      </c>
      <c r="L86" s="33" t="n">
        <v>20408.08</v>
      </c>
      <c r="M86" s="27" t="n">
        <v>1.55</v>
      </c>
      <c r="N86" s="26" t="n">
        <v>1510035.94</v>
      </c>
      <c r="O86" s="26" t="n">
        <v>1168275.5</v>
      </c>
      <c r="P86" s="32" t="n">
        <v>-341760.44</v>
      </c>
      <c r="Q86" s="27" t="n">
        <v>53.35</v>
      </c>
      <c r="R86" s="27" t="n">
        <v>46.56</v>
      </c>
    </row>
    <row r="87">
      <c r="A87" s="28" t="inlineStr">
        <is>
          <t>Apr</t>
        </is>
      </c>
      <c r="B87" s="28" t="n">
        <v>4</v>
      </c>
      <c r="C87" s="28" t="inlineStr">
        <is>
          <t>Europe</t>
        </is>
      </c>
      <c r="D87" s="28" t="inlineStr">
        <is>
          <t>Private Equity</t>
        </is>
      </c>
      <c r="E87" s="29" t="n">
        <v>847246.95</v>
      </c>
      <c r="F87" s="29" t="n">
        <v>839458.74</v>
      </c>
      <c r="G87" s="29" t="n">
        <v>534596.35</v>
      </c>
      <c r="H87" s="29" t="n">
        <v>519085</v>
      </c>
      <c r="I87" s="28" t="n">
        <v>2024</v>
      </c>
      <c r="J87" s="32" t="n">
        <v>-7788.21</v>
      </c>
      <c r="K87" s="30" t="n">
        <v>-0.92</v>
      </c>
      <c r="L87" s="32" t="n">
        <v>-15511.35</v>
      </c>
      <c r="M87" s="30" t="n">
        <v>-2.9</v>
      </c>
      <c r="N87" s="29" t="n">
        <v>312650.6</v>
      </c>
      <c r="O87" s="29" t="n">
        <v>320373.74</v>
      </c>
      <c r="P87" s="33" t="n">
        <v>7723.14</v>
      </c>
      <c r="Q87" s="30" t="n">
        <v>36.9</v>
      </c>
      <c r="R87" s="30" t="n">
        <v>38.16</v>
      </c>
    </row>
    <row r="88">
      <c r="A88" s="25" t="inlineStr">
        <is>
          <t>Apr</t>
        </is>
      </c>
      <c r="B88" s="25" t="n">
        <v>4</v>
      </c>
      <c r="C88" s="25" t="inlineStr">
        <is>
          <t>Asia Pacific</t>
        </is>
      </c>
      <c r="D88" s="25" t="inlineStr">
        <is>
          <t>Equity Funds</t>
        </is>
      </c>
      <c r="E88" s="26" t="n">
        <v>1777215.19</v>
      </c>
      <c r="F88" s="26" t="n">
        <v>1725658.7</v>
      </c>
      <c r="G88" s="26" t="n">
        <v>972302.5600000001</v>
      </c>
      <c r="H88" s="26" t="n">
        <v>1049757.96</v>
      </c>
      <c r="I88" s="25" t="n">
        <v>2024</v>
      </c>
      <c r="J88" s="32" t="n">
        <v>-51556.49</v>
      </c>
      <c r="K88" s="27" t="n">
        <v>-2.9</v>
      </c>
      <c r="L88" s="33" t="n">
        <v>77455.39999999999</v>
      </c>
      <c r="M88" s="27" t="n">
        <v>7.97</v>
      </c>
      <c r="N88" s="26" t="n">
        <v>804912.63</v>
      </c>
      <c r="O88" s="26" t="n">
        <v>675900.74</v>
      </c>
      <c r="P88" s="32" t="n">
        <v>-129011.89</v>
      </c>
      <c r="Q88" s="27" t="n">
        <v>45.29</v>
      </c>
      <c r="R88" s="27" t="n">
        <v>39.17</v>
      </c>
    </row>
    <row r="89">
      <c r="A89" s="28" t="inlineStr">
        <is>
          <t>Apr</t>
        </is>
      </c>
      <c r="B89" s="28" t="n">
        <v>4</v>
      </c>
      <c r="C89" s="28" t="inlineStr">
        <is>
          <t>Asia Pacific</t>
        </is>
      </c>
      <c r="D89" s="28" t="inlineStr">
        <is>
          <t>Fixed Income</t>
        </is>
      </c>
      <c r="E89" s="29" t="n">
        <v>1680795.19</v>
      </c>
      <c r="F89" s="29" t="n">
        <v>1696696.47</v>
      </c>
      <c r="G89" s="29" t="n">
        <v>970717.87</v>
      </c>
      <c r="H89" s="29" t="n">
        <v>935762.79</v>
      </c>
      <c r="I89" s="28" t="n">
        <v>2024</v>
      </c>
      <c r="J89" s="33" t="n">
        <v>15901.28</v>
      </c>
      <c r="K89" s="30" t="n">
        <v>0.95</v>
      </c>
      <c r="L89" s="32" t="n">
        <v>-34955.08</v>
      </c>
      <c r="M89" s="30" t="n">
        <v>-3.6</v>
      </c>
      <c r="N89" s="29" t="n">
        <v>710077.3199999999</v>
      </c>
      <c r="O89" s="29" t="n">
        <v>760933.6800000001</v>
      </c>
      <c r="P89" s="33" t="n">
        <v>50856.36</v>
      </c>
      <c r="Q89" s="30" t="n">
        <v>42.25</v>
      </c>
      <c r="R89" s="30" t="n">
        <v>44.85</v>
      </c>
    </row>
    <row r="90">
      <c r="A90" s="25" t="inlineStr">
        <is>
          <t>Apr</t>
        </is>
      </c>
      <c r="B90" s="25" t="n">
        <v>4</v>
      </c>
      <c r="C90" s="25" t="inlineStr">
        <is>
          <t>Asia Pacific</t>
        </is>
      </c>
      <c r="D90" s="25" t="inlineStr">
        <is>
          <t>Real Estate</t>
        </is>
      </c>
      <c r="E90" s="26" t="n">
        <v>3637762.35</v>
      </c>
      <c r="F90" s="26" t="n">
        <v>3859723.94</v>
      </c>
      <c r="G90" s="26" t="n">
        <v>2633513.94</v>
      </c>
      <c r="H90" s="26" t="n">
        <v>2443496.86</v>
      </c>
      <c r="I90" s="25" t="n">
        <v>2024</v>
      </c>
      <c r="J90" s="33" t="n">
        <v>221961.59</v>
      </c>
      <c r="K90" s="27" t="n">
        <v>6.1</v>
      </c>
      <c r="L90" s="32" t="n">
        <v>-190017.08</v>
      </c>
      <c r="M90" s="27" t="n">
        <v>-7.22</v>
      </c>
      <c r="N90" s="26" t="n">
        <v>1004248.41</v>
      </c>
      <c r="O90" s="26" t="n">
        <v>1416227.08</v>
      </c>
      <c r="P90" s="33" t="n">
        <v>411978.67</v>
      </c>
      <c r="Q90" s="27" t="n">
        <v>27.61</v>
      </c>
      <c r="R90" s="27" t="n">
        <v>36.69</v>
      </c>
    </row>
    <row r="91">
      <c r="A91" s="28" t="inlineStr">
        <is>
          <t>Apr</t>
        </is>
      </c>
      <c r="B91" s="28" t="n">
        <v>4</v>
      </c>
      <c r="C91" s="28" t="inlineStr">
        <is>
          <t>Asia Pacific</t>
        </is>
      </c>
      <c r="D91" s="28" t="inlineStr">
        <is>
          <t>Hedge Funds</t>
        </is>
      </c>
      <c r="E91" s="29" t="n">
        <v>819392.63</v>
      </c>
      <c r="F91" s="29" t="n">
        <v>852717.4300000001</v>
      </c>
      <c r="G91" s="29" t="n">
        <v>444619.56</v>
      </c>
      <c r="H91" s="29" t="n">
        <v>414523.92</v>
      </c>
      <c r="I91" s="28" t="n">
        <v>2024</v>
      </c>
      <c r="J91" s="33" t="n">
        <v>33324.8</v>
      </c>
      <c r="K91" s="30" t="n">
        <v>4.07</v>
      </c>
      <c r="L91" s="32" t="n">
        <v>-30095.64</v>
      </c>
      <c r="M91" s="30" t="n">
        <v>-6.77</v>
      </c>
      <c r="N91" s="29" t="n">
        <v>374773.07</v>
      </c>
      <c r="O91" s="29" t="n">
        <v>438193.51</v>
      </c>
      <c r="P91" s="33" t="n">
        <v>63420.44</v>
      </c>
      <c r="Q91" s="30" t="n">
        <v>45.74</v>
      </c>
      <c r="R91" s="30" t="n">
        <v>51.39</v>
      </c>
    </row>
    <row r="92">
      <c r="A92" s="25" t="inlineStr">
        <is>
          <t>Apr</t>
        </is>
      </c>
      <c r="B92" s="25" t="n">
        <v>4</v>
      </c>
      <c r="C92" s="25" t="inlineStr">
        <is>
          <t>Asia Pacific</t>
        </is>
      </c>
      <c r="D92" s="25" t="inlineStr">
        <is>
          <t>Private Equity</t>
        </is>
      </c>
      <c r="E92" s="26" t="n">
        <v>3489408.46</v>
      </c>
      <c r="F92" s="26" t="n">
        <v>3579223.73</v>
      </c>
      <c r="G92" s="26" t="n">
        <v>2667973.47</v>
      </c>
      <c r="H92" s="26" t="n">
        <v>2421153.61</v>
      </c>
      <c r="I92" s="25" t="n">
        <v>2024</v>
      </c>
      <c r="J92" s="33" t="n">
        <v>89815.27</v>
      </c>
      <c r="K92" s="27" t="n">
        <v>2.57</v>
      </c>
      <c r="L92" s="32" t="n">
        <v>-246819.86</v>
      </c>
      <c r="M92" s="27" t="n">
        <v>-9.25</v>
      </c>
      <c r="N92" s="26" t="n">
        <v>821434.99</v>
      </c>
      <c r="O92" s="26" t="n">
        <v>1158070.12</v>
      </c>
      <c r="P92" s="33" t="n">
        <v>336635.13</v>
      </c>
      <c r="Q92" s="27" t="n">
        <v>23.54</v>
      </c>
      <c r="R92" s="27" t="n">
        <v>32.36</v>
      </c>
    </row>
    <row r="93">
      <c r="A93" s="28" t="inlineStr">
        <is>
          <t>Apr</t>
        </is>
      </c>
      <c r="B93" s="28" t="n">
        <v>4</v>
      </c>
      <c r="C93" s="28" t="inlineStr">
        <is>
          <t>Latin America</t>
        </is>
      </c>
      <c r="D93" s="28" t="inlineStr">
        <is>
          <t>Equity Funds</t>
        </is>
      </c>
      <c r="E93" s="29" t="n">
        <v>3908649.2</v>
      </c>
      <c r="F93" s="29" t="n">
        <v>3463699.61</v>
      </c>
      <c r="G93" s="29" t="n">
        <v>3017975.14</v>
      </c>
      <c r="H93" s="29" t="n">
        <v>3146430.27</v>
      </c>
      <c r="I93" s="28" t="n">
        <v>2024</v>
      </c>
      <c r="J93" s="32" t="n">
        <v>-444949.59</v>
      </c>
      <c r="K93" s="30" t="n">
        <v>-11.38</v>
      </c>
      <c r="L93" s="33" t="n">
        <v>128455.13</v>
      </c>
      <c r="M93" s="30" t="n">
        <v>4.26</v>
      </c>
      <c r="N93" s="29" t="n">
        <v>890674.0600000001</v>
      </c>
      <c r="O93" s="29" t="n">
        <v>317269.34</v>
      </c>
      <c r="P93" s="32" t="n">
        <v>-573404.72</v>
      </c>
      <c r="Q93" s="30" t="n">
        <v>22.79</v>
      </c>
      <c r="R93" s="30" t="n">
        <v>9.16</v>
      </c>
    </row>
    <row r="94">
      <c r="A94" s="25" t="inlineStr">
        <is>
          <t>Apr</t>
        </is>
      </c>
      <c r="B94" s="25" t="n">
        <v>4</v>
      </c>
      <c r="C94" s="25" t="inlineStr">
        <is>
          <t>Latin America</t>
        </is>
      </c>
      <c r="D94" s="25" t="inlineStr">
        <is>
          <t>Fixed Income</t>
        </is>
      </c>
      <c r="E94" s="26" t="n">
        <v>5031786.12</v>
      </c>
      <c r="F94" s="26" t="n">
        <v>4519747.31</v>
      </c>
      <c r="G94" s="26" t="n">
        <v>2849671.98</v>
      </c>
      <c r="H94" s="26" t="n">
        <v>2936695.76</v>
      </c>
      <c r="I94" s="25" t="n">
        <v>2024</v>
      </c>
      <c r="J94" s="32" t="n">
        <v>-512038.81</v>
      </c>
      <c r="K94" s="27" t="n">
        <v>-10.18</v>
      </c>
      <c r="L94" s="33" t="n">
        <v>87023.78</v>
      </c>
      <c r="M94" s="27" t="n">
        <v>3.05</v>
      </c>
      <c r="N94" s="26" t="n">
        <v>2182114.14</v>
      </c>
      <c r="O94" s="26" t="n">
        <v>1583051.55</v>
      </c>
      <c r="P94" s="32" t="n">
        <v>-599062.59</v>
      </c>
      <c r="Q94" s="27" t="n">
        <v>43.37</v>
      </c>
      <c r="R94" s="27" t="n">
        <v>35.03</v>
      </c>
    </row>
    <row r="95">
      <c r="A95" s="28" t="inlineStr">
        <is>
          <t>Apr</t>
        </is>
      </c>
      <c r="B95" s="28" t="n">
        <v>4</v>
      </c>
      <c r="C95" s="28" t="inlineStr">
        <is>
          <t>Latin America</t>
        </is>
      </c>
      <c r="D95" s="28" t="inlineStr">
        <is>
          <t>Real Estate</t>
        </is>
      </c>
      <c r="E95" s="29" t="n">
        <v>1314016.49</v>
      </c>
      <c r="F95" s="29" t="n">
        <v>1345682.69</v>
      </c>
      <c r="G95" s="29" t="n">
        <v>773723.64</v>
      </c>
      <c r="H95" s="29" t="n">
        <v>863570.48</v>
      </c>
      <c r="I95" s="28" t="n">
        <v>2024</v>
      </c>
      <c r="J95" s="33" t="n">
        <v>31666.2</v>
      </c>
      <c r="K95" s="30" t="n">
        <v>2.41</v>
      </c>
      <c r="L95" s="33" t="n">
        <v>89846.84</v>
      </c>
      <c r="M95" s="30" t="n">
        <v>11.61</v>
      </c>
      <c r="N95" s="29" t="n">
        <v>540292.85</v>
      </c>
      <c r="O95" s="29" t="n">
        <v>482112.21</v>
      </c>
      <c r="P95" s="32" t="n">
        <v>-58180.64</v>
      </c>
      <c r="Q95" s="30" t="n">
        <v>41.12</v>
      </c>
      <c r="R95" s="30" t="n">
        <v>35.83</v>
      </c>
    </row>
    <row r="96">
      <c r="A96" s="25" t="inlineStr">
        <is>
          <t>Apr</t>
        </is>
      </c>
      <c r="B96" s="25" t="n">
        <v>4</v>
      </c>
      <c r="C96" s="25" t="inlineStr">
        <is>
          <t>Latin America</t>
        </is>
      </c>
      <c r="D96" s="25" t="inlineStr">
        <is>
          <t>Hedge Funds</t>
        </is>
      </c>
      <c r="E96" s="26" t="n">
        <v>4028523.66</v>
      </c>
      <c r="F96" s="26" t="n">
        <v>3903385.67</v>
      </c>
      <c r="G96" s="26" t="n">
        <v>2267594.58</v>
      </c>
      <c r="H96" s="26" t="n">
        <v>2181188.98</v>
      </c>
      <c r="I96" s="25" t="n">
        <v>2024</v>
      </c>
      <c r="J96" s="32" t="n">
        <v>-125137.99</v>
      </c>
      <c r="K96" s="27" t="n">
        <v>-3.11</v>
      </c>
      <c r="L96" s="32" t="n">
        <v>-86405.60000000001</v>
      </c>
      <c r="M96" s="27" t="n">
        <v>-3.81</v>
      </c>
      <c r="N96" s="26" t="n">
        <v>1760929.08</v>
      </c>
      <c r="O96" s="26" t="n">
        <v>1722196.69</v>
      </c>
      <c r="P96" s="32" t="n">
        <v>-38732.39</v>
      </c>
      <c r="Q96" s="27" t="n">
        <v>43.71</v>
      </c>
      <c r="R96" s="27" t="n">
        <v>44.12</v>
      </c>
    </row>
    <row r="97">
      <c r="A97" s="28" t="inlineStr">
        <is>
          <t>Apr</t>
        </is>
      </c>
      <c r="B97" s="28" t="n">
        <v>4</v>
      </c>
      <c r="C97" s="28" t="inlineStr">
        <is>
          <t>Latin America</t>
        </is>
      </c>
      <c r="D97" s="28" t="inlineStr">
        <is>
          <t>Private Equity</t>
        </is>
      </c>
      <c r="E97" s="29" t="n">
        <v>4023599.22</v>
      </c>
      <c r="F97" s="29" t="n">
        <v>4468565.1</v>
      </c>
      <c r="G97" s="29" t="n">
        <v>3125860.21</v>
      </c>
      <c r="H97" s="29" t="n">
        <v>3372458.56</v>
      </c>
      <c r="I97" s="28" t="n">
        <v>2024</v>
      </c>
      <c r="J97" s="33" t="n">
        <v>444965.88</v>
      </c>
      <c r="K97" s="30" t="n">
        <v>11.06</v>
      </c>
      <c r="L97" s="33" t="n">
        <v>246598.35</v>
      </c>
      <c r="M97" s="30" t="n">
        <v>7.89</v>
      </c>
      <c r="N97" s="29" t="n">
        <v>897739.01</v>
      </c>
      <c r="O97" s="29" t="n">
        <v>1096106.54</v>
      </c>
      <c r="P97" s="33" t="n">
        <v>198367.53</v>
      </c>
      <c r="Q97" s="30" t="n">
        <v>22.31</v>
      </c>
      <c r="R97" s="30" t="n">
        <v>24.53</v>
      </c>
    </row>
    <row r="98">
      <c r="A98" s="25" t="inlineStr">
        <is>
          <t>Apr</t>
        </is>
      </c>
      <c r="B98" s="25" t="n">
        <v>4</v>
      </c>
      <c r="C98" s="25" t="inlineStr">
        <is>
          <t>Middle East</t>
        </is>
      </c>
      <c r="D98" s="25" t="inlineStr">
        <is>
          <t>Equity Funds</t>
        </is>
      </c>
      <c r="E98" s="26" t="n">
        <v>3947010.52</v>
      </c>
      <c r="F98" s="26" t="n">
        <v>4387945.65</v>
      </c>
      <c r="G98" s="26" t="n">
        <v>2088762.1</v>
      </c>
      <c r="H98" s="26" t="n">
        <v>2243263.26</v>
      </c>
      <c r="I98" s="25" t="n">
        <v>2024</v>
      </c>
      <c r="J98" s="33" t="n">
        <v>440935.13</v>
      </c>
      <c r="K98" s="27" t="n">
        <v>11.17</v>
      </c>
      <c r="L98" s="33" t="n">
        <v>154501.16</v>
      </c>
      <c r="M98" s="27" t="n">
        <v>7.4</v>
      </c>
      <c r="N98" s="26" t="n">
        <v>1858248.42</v>
      </c>
      <c r="O98" s="26" t="n">
        <v>2144682.39</v>
      </c>
      <c r="P98" s="33" t="n">
        <v>286433.97</v>
      </c>
      <c r="Q98" s="27" t="n">
        <v>47.08</v>
      </c>
      <c r="R98" s="27" t="n">
        <v>48.88</v>
      </c>
    </row>
    <row r="99">
      <c r="A99" s="28" t="inlineStr">
        <is>
          <t>Apr</t>
        </is>
      </c>
      <c r="B99" s="28" t="n">
        <v>4</v>
      </c>
      <c r="C99" s="28" t="inlineStr">
        <is>
          <t>Middle East</t>
        </is>
      </c>
      <c r="D99" s="28" t="inlineStr">
        <is>
          <t>Fixed Income</t>
        </is>
      </c>
      <c r="E99" s="29" t="n">
        <v>3020893.59</v>
      </c>
      <c r="F99" s="29" t="n">
        <v>3188390.94</v>
      </c>
      <c r="G99" s="29" t="n">
        <v>1736692.4</v>
      </c>
      <c r="H99" s="29" t="n">
        <v>1883288.62</v>
      </c>
      <c r="I99" s="28" t="n">
        <v>2024</v>
      </c>
      <c r="J99" s="33" t="n">
        <v>167497.35</v>
      </c>
      <c r="K99" s="30" t="n">
        <v>5.54</v>
      </c>
      <c r="L99" s="33" t="n">
        <v>146596.22</v>
      </c>
      <c r="M99" s="30" t="n">
        <v>8.44</v>
      </c>
      <c r="N99" s="29" t="n">
        <v>1284201.19</v>
      </c>
      <c r="O99" s="29" t="n">
        <v>1305102.32</v>
      </c>
      <c r="P99" s="33" t="n">
        <v>20901.13</v>
      </c>
      <c r="Q99" s="30" t="n">
        <v>42.51</v>
      </c>
      <c r="R99" s="30" t="n">
        <v>40.93</v>
      </c>
    </row>
    <row r="100">
      <c r="A100" s="25" t="inlineStr">
        <is>
          <t>Apr</t>
        </is>
      </c>
      <c r="B100" s="25" t="n">
        <v>4</v>
      </c>
      <c r="C100" s="25" t="inlineStr">
        <is>
          <t>Middle East</t>
        </is>
      </c>
      <c r="D100" s="25" t="inlineStr">
        <is>
          <t>Real Estate</t>
        </is>
      </c>
      <c r="E100" s="26" t="n">
        <v>4616438.87</v>
      </c>
      <c r="F100" s="26" t="n">
        <v>4332653.56</v>
      </c>
      <c r="G100" s="26" t="n">
        <v>2027182.42</v>
      </c>
      <c r="H100" s="26" t="n">
        <v>2080861.42</v>
      </c>
      <c r="I100" s="25" t="n">
        <v>2024</v>
      </c>
      <c r="J100" s="32" t="n">
        <v>-283785.31</v>
      </c>
      <c r="K100" s="27" t="n">
        <v>-6.15</v>
      </c>
      <c r="L100" s="33" t="n">
        <v>53679</v>
      </c>
      <c r="M100" s="27" t="n">
        <v>2.65</v>
      </c>
      <c r="N100" s="26" t="n">
        <v>2589256.45</v>
      </c>
      <c r="O100" s="26" t="n">
        <v>2251792.14</v>
      </c>
      <c r="P100" s="32" t="n">
        <v>-337464.31</v>
      </c>
      <c r="Q100" s="27" t="n">
        <v>56.09</v>
      </c>
      <c r="R100" s="27" t="n">
        <v>51.97</v>
      </c>
    </row>
    <row r="101">
      <c r="A101" s="28" t="inlineStr">
        <is>
          <t>Apr</t>
        </is>
      </c>
      <c r="B101" s="28" t="n">
        <v>4</v>
      </c>
      <c r="C101" s="28" t="inlineStr">
        <is>
          <t>Middle East</t>
        </is>
      </c>
      <c r="D101" s="28" t="inlineStr">
        <is>
          <t>Hedge Funds</t>
        </is>
      </c>
      <c r="E101" s="29" t="n">
        <v>2559633.72</v>
      </c>
      <c r="F101" s="29" t="n">
        <v>2364184.1</v>
      </c>
      <c r="G101" s="29" t="n">
        <v>1033728.64</v>
      </c>
      <c r="H101" s="29" t="n">
        <v>1107619.32</v>
      </c>
      <c r="I101" s="28" t="n">
        <v>2024</v>
      </c>
      <c r="J101" s="32" t="n">
        <v>-195449.62</v>
      </c>
      <c r="K101" s="30" t="n">
        <v>-7.64</v>
      </c>
      <c r="L101" s="33" t="n">
        <v>73890.67999999999</v>
      </c>
      <c r="M101" s="30" t="n">
        <v>7.15</v>
      </c>
      <c r="N101" s="29" t="n">
        <v>1525905.08</v>
      </c>
      <c r="O101" s="29" t="n">
        <v>1256564.78</v>
      </c>
      <c r="P101" s="32" t="n">
        <v>-269340.3</v>
      </c>
      <c r="Q101" s="30" t="n">
        <v>59.61</v>
      </c>
      <c r="R101" s="30" t="n">
        <v>53.15</v>
      </c>
    </row>
    <row r="102">
      <c r="A102" s="25" t="inlineStr">
        <is>
          <t>Apr</t>
        </is>
      </c>
      <c r="B102" s="25" t="n">
        <v>4</v>
      </c>
      <c r="C102" s="25" t="inlineStr">
        <is>
          <t>Middle East</t>
        </is>
      </c>
      <c r="D102" s="25" t="inlineStr">
        <is>
          <t>Private Equity</t>
        </is>
      </c>
      <c r="E102" s="26" t="n">
        <v>2319127.88</v>
      </c>
      <c r="F102" s="26" t="n">
        <v>2194601.05</v>
      </c>
      <c r="G102" s="26" t="n">
        <v>1436052.08</v>
      </c>
      <c r="H102" s="26" t="n">
        <v>1590477.97</v>
      </c>
      <c r="I102" s="25" t="n">
        <v>2024</v>
      </c>
      <c r="J102" s="32" t="n">
        <v>-124526.83</v>
      </c>
      <c r="K102" s="27" t="n">
        <v>-5.37</v>
      </c>
      <c r="L102" s="33" t="n">
        <v>154425.89</v>
      </c>
      <c r="M102" s="27" t="n">
        <v>10.75</v>
      </c>
      <c r="N102" s="26" t="n">
        <v>883075.8</v>
      </c>
      <c r="O102" s="26" t="n">
        <v>604123.08</v>
      </c>
      <c r="P102" s="32" t="n">
        <v>-278952.72</v>
      </c>
      <c r="Q102" s="27" t="n">
        <v>38.08</v>
      </c>
      <c r="R102" s="27" t="n">
        <v>27.53</v>
      </c>
    </row>
    <row r="103">
      <c r="A103" s="28" t="inlineStr">
        <is>
          <t>May</t>
        </is>
      </c>
      <c r="B103" s="28" t="n">
        <v>5</v>
      </c>
      <c r="C103" s="28" t="inlineStr">
        <is>
          <t>North America</t>
        </is>
      </c>
      <c r="D103" s="28" t="inlineStr">
        <is>
          <t>Equity Funds</t>
        </is>
      </c>
      <c r="E103" s="29" t="n">
        <v>1156925.47</v>
      </c>
      <c r="F103" s="29" t="n">
        <v>1228608.01</v>
      </c>
      <c r="G103" s="29" t="n">
        <v>801744.17</v>
      </c>
      <c r="H103" s="29" t="n">
        <v>829818.6</v>
      </c>
      <c r="I103" s="28" t="n">
        <v>2024</v>
      </c>
      <c r="J103" s="33" t="n">
        <v>71682.53999999999</v>
      </c>
      <c r="K103" s="30" t="n">
        <v>6.2</v>
      </c>
      <c r="L103" s="33" t="n">
        <v>28074.43</v>
      </c>
      <c r="M103" s="30" t="n">
        <v>3.5</v>
      </c>
      <c r="N103" s="29" t="n">
        <v>355181.3</v>
      </c>
      <c r="O103" s="29" t="n">
        <v>398789.41</v>
      </c>
      <c r="P103" s="33" t="n">
        <v>43608.11</v>
      </c>
      <c r="Q103" s="30" t="n">
        <v>30.7</v>
      </c>
      <c r="R103" s="30" t="n">
        <v>32.46</v>
      </c>
    </row>
    <row r="104">
      <c r="A104" s="25" t="inlineStr">
        <is>
          <t>May</t>
        </is>
      </c>
      <c r="B104" s="25" t="n">
        <v>5</v>
      </c>
      <c r="C104" s="25" t="inlineStr">
        <is>
          <t>North America</t>
        </is>
      </c>
      <c r="D104" s="25" t="inlineStr">
        <is>
          <t>Fixed Income</t>
        </is>
      </c>
      <c r="E104" s="26" t="n">
        <v>2628558.14</v>
      </c>
      <c r="F104" s="26" t="n">
        <v>2452926.13</v>
      </c>
      <c r="G104" s="26" t="n">
        <v>2043833.78</v>
      </c>
      <c r="H104" s="26" t="n">
        <v>1948773.94</v>
      </c>
      <c r="I104" s="25" t="n">
        <v>2024</v>
      </c>
      <c r="J104" s="32" t="n">
        <v>-175632.01</v>
      </c>
      <c r="K104" s="27" t="n">
        <v>-6.68</v>
      </c>
      <c r="L104" s="32" t="n">
        <v>-95059.84</v>
      </c>
      <c r="M104" s="27" t="n">
        <v>-4.65</v>
      </c>
      <c r="N104" s="26" t="n">
        <v>584724.36</v>
      </c>
      <c r="O104" s="26" t="n">
        <v>504152.19</v>
      </c>
      <c r="P104" s="32" t="n">
        <v>-80572.17</v>
      </c>
      <c r="Q104" s="27" t="n">
        <v>22.25</v>
      </c>
      <c r="R104" s="27" t="n">
        <v>20.55</v>
      </c>
    </row>
    <row r="105">
      <c r="A105" s="28" t="inlineStr">
        <is>
          <t>May</t>
        </is>
      </c>
      <c r="B105" s="28" t="n">
        <v>5</v>
      </c>
      <c r="C105" s="28" t="inlineStr">
        <is>
          <t>North America</t>
        </is>
      </c>
      <c r="D105" s="28" t="inlineStr">
        <is>
          <t>Real Estate</t>
        </is>
      </c>
      <c r="E105" s="29" t="n">
        <v>3262586.54</v>
      </c>
      <c r="F105" s="29" t="n">
        <v>3204254.48</v>
      </c>
      <c r="G105" s="29" t="n">
        <v>2013924</v>
      </c>
      <c r="H105" s="29" t="n">
        <v>1932138.37</v>
      </c>
      <c r="I105" s="28" t="n">
        <v>2024</v>
      </c>
      <c r="J105" s="32" t="n">
        <v>-58332.06</v>
      </c>
      <c r="K105" s="30" t="n">
        <v>-1.79</v>
      </c>
      <c r="L105" s="32" t="n">
        <v>-81785.63</v>
      </c>
      <c r="M105" s="30" t="n">
        <v>-4.06</v>
      </c>
      <c r="N105" s="29" t="n">
        <v>1248662.54</v>
      </c>
      <c r="O105" s="29" t="n">
        <v>1272116.11</v>
      </c>
      <c r="P105" s="33" t="n">
        <v>23453.57</v>
      </c>
      <c r="Q105" s="30" t="n">
        <v>38.27</v>
      </c>
      <c r="R105" s="30" t="n">
        <v>39.7</v>
      </c>
    </row>
    <row r="106">
      <c r="A106" s="25" t="inlineStr">
        <is>
          <t>May</t>
        </is>
      </c>
      <c r="B106" s="25" t="n">
        <v>5</v>
      </c>
      <c r="C106" s="25" t="inlineStr">
        <is>
          <t>North America</t>
        </is>
      </c>
      <c r="D106" s="25" t="inlineStr">
        <is>
          <t>Hedge Funds</t>
        </is>
      </c>
      <c r="E106" s="26" t="n">
        <v>3565444.54</v>
      </c>
      <c r="F106" s="26" t="n">
        <v>3240837.24</v>
      </c>
      <c r="G106" s="26" t="n">
        <v>1870781.9</v>
      </c>
      <c r="H106" s="26" t="n">
        <v>1699966.68</v>
      </c>
      <c r="I106" s="25" t="n">
        <v>2024</v>
      </c>
      <c r="J106" s="32" t="n">
        <v>-324607.3</v>
      </c>
      <c r="K106" s="27" t="n">
        <v>-9.1</v>
      </c>
      <c r="L106" s="32" t="n">
        <v>-170815.22</v>
      </c>
      <c r="M106" s="27" t="n">
        <v>-9.130000000000001</v>
      </c>
      <c r="N106" s="26" t="n">
        <v>1694662.64</v>
      </c>
      <c r="O106" s="26" t="n">
        <v>1540870.56</v>
      </c>
      <c r="P106" s="32" t="n">
        <v>-153792.08</v>
      </c>
      <c r="Q106" s="27" t="n">
        <v>47.53</v>
      </c>
      <c r="R106" s="27" t="n">
        <v>47.55</v>
      </c>
    </row>
    <row r="107">
      <c r="A107" s="28" t="inlineStr">
        <is>
          <t>May</t>
        </is>
      </c>
      <c r="B107" s="28" t="n">
        <v>5</v>
      </c>
      <c r="C107" s="28" t="inlineStr">
        <is>
          <t>North America</t>
        </is>
      </c>
      <c r="D107" s="28" t="inlineStr">
        <is>
          <t>Private Equity</t>
        </is>
      </c>
      <c r="E107" s="29" t="n">
        <v>2858530.47</v>
      </c>
      <c r="F107" s="29" t="n">
        <v>2663956.91</v>
      </c>
      <c r="G107" s="29" t="n">
        <v>2063787.31</v>
      </c>
      <c r="H107" s="29" t="n">
        <v>2175026.27</v>
      </c>
      <c r="I107" s="28" t="n">
        <v>2024</v>
      </c>
      <c r="J107" s="32" t="n">
        <v>-194573.56</v>
      </c>
      <c r="K107" s="30" t="n">
        <v>-6.81</v>
      </c>
      <c r="L107" s="33" t="n">
        <v>111238.96</v>
      </c>
      <c r="M107" s="30" t="n">
        <v>5.39</v>
      </c>
      <c r="N107" s="29" t="n">
        <v>794743.16</v>
      </c>
      <c r="O107" s="29" t="n">
        <v>488930.64</v>
      </c>
      <c r="P107" s="32" t="n">
        <v>-305812.52</v>
      </c>
      <c r="Q107" s="30" t="n">
        <v>27.8</v>
      </c>
      <c r="R107" s="30" t="n">
        <v>18.35</v>
      </c>
    </row>
    <row r="108">
      <c r="A108" s="25" t="inlineStr">
        <is>
          <t>May</t>
        </is>
      </c>
      <c r="B108" s="25" t="n">
        <v>5</v>
      </c>
      <c r="C108" s="25" t="inlineStr">
        <is>
          <t>Europe</t>
        </is>
      </c>
      <c r="D108" s="25" t="inlineStr">
        <is>
          <t>Equity Funds</t>
        </is>
      </c>
      <c r="E108" s="26" t="n">
        <v>4689012.3</v>
      </c>
      <c r="F108" s="26" t="n">
        <v>4239459.18</v>
      </c>
      <c r="G108" s="26" t="n">
        <v>2795139.37</v>
      </c>
      <c r="H108" s="26" t="n">
        <v>2612325.96</v>
      </c>
      <c r="I108" s="25" t="n">
        <v>2024</v>
      </c>
      <c r="J108" s="32" t="n">
        <v>-449553.12</v>
      </c>
      <c r="K108" s="27" t="n">
        <v>-9.59</v>
      </c>
      <c r="L108" s="32" t="n">
        <v>-182813.41</v>
      </c>
      <c r="M108" s="27" t="n">
        <v>-6.54</v>
      </c>
      <c r="N108" s="26" t="n">
        <v>1893872.93</v>
      </c>
      <c r="O108" s="26" t="n">
        <v>1627133.22</v>
      </c>
      <c r="P108" s="32" t="n">
        <v>-266739.71</v>
      </c>
      <c r="Q108" s="27" t="n">
        <v>40.39</v>
      </c>
      <c r="R108" s="27" t="n">
        <v>38.38</v>
      </c>
    </row>
    <row r="109">
      <c r="A109" s="28" t="inlineStr">
        <is>
          <t>May</t>
        </is>
      </c>
      <c r="B109" s="28" t="n">
        <v>5</v>
      </c>
      <c r="C109" s="28" t="inlineStr">
        <is>
          <t>Europe</t>
        </is>
      </c>
      <c r="D109" s="28" t="inlineStr">
        <is>
          <t>Fixed Income</t>
        </is>
      </c>
      <c r="E109" s="29" t="n">
        <v>1564261.31</v>
      </c>
      <c r="F109" s="29" t="n">
        <v>1479532.66</v>
      </c>
      <c r="G109" s="29" t="n">
        <v>772684.71</v>
      </c>
      <c r="H109" s="29" t="n">
        <v>782579.83</v>
      </c>
      <c r="I109" s="28" t="n">
        <v>2024</v>
      </c>
      <c r="J109" s="32" t="n">
        <v>-84728.64999999999</v>
      </c>
      <c r="K109" s="30" t="n">
        <v>-5.42</v>
      </c>
      <c r="L109" s="33" t="n">
        <v>9895.120000000001</v>
      </c>
      <c r="M109" s="30" t="n">
        <v>1.28</v>
      </c>
      <c r="N109" s="29" t="n">
        <v>791576.6</v>
      </c>
      <c r="O109" s="29" t="n">
        <v>696952.83</v>
      </c>
      <c r="P109" s="32" t="n">
        <v>-94623.77</v>
      </c>
      <c r="Q109" s="30" t="n">
        <v>50.6</v>
      </c>
      <c r="R109" s="30" t="n">
        <v>47.11</v>
      </c>
    </row>
    <row r="110">
      <c r="A110" s="25" t="inlineStr">
        <is>
          <t>May</t>
        </is>
      </c>
      <c r="B110" s="25" t="n">
        <v>5</v>
      </c>
      <c r="C110" s="25" t="inlineStr">
        <is>
          <t>Europe</t>
        </is>
      </c>
      <c r="D110" s="25" t="inlineStr">
        <is>
          <t>Real Estate</t>
        </is>
      </c>
      <c r="E110" s="26" t="n">
        <v>4003962.69</v>
      </c>
      <c r="F110" s="26" t="n">
        <v>3995197.56</v>
      </c>
      <c r="G110" s="26" t="n">
        <v>1955018.32</v>
      </c>
      <c r="H110" s="26" t="n">
        <v>1989769.58</v>
      </c>
      <c r="I110" s="25" t="n">
        <v>2024</v>
      </c>
      <c r="J110" s="32" t="n">
        <v>-8765.129999999999</v>
      </c>
      <c r="K110" s="27" t="n">
        <v>-0.22</v>
      </c>
      <c r="L110" s="33" t="n">
        <v>34751.26</v>
      </c>
      <c r="M110" s="27" t="n">
        <v>1.78</v>
      </c>
      <c r="N110" s="26" t="n">
        <v>2048944.37</v>
      </c>
      <c r="O110" s="26" t="n">
        <v>2005427.98</v>
      </c>
      <c r="P110" s="32" t="n">
        <v>-43516.39</v>
      </c>
      <c r="Q110" s="27" t="n">
        <v>51.17</v>
      </c>
      <c r="R110" s="27" t="n">
        <v>50.2</v>
      </c>
    </row>
    <row r="111">
      <c r="A111" s="28" t="inlineStr">
        <is>
          <t>May</t>
        </is>
      </c>
      <c r="B111" s="28" t="n">
        <v>5</v>
      </c>
      <c r="C111" s="28" t="inlineStr">
        <is>
          <t>Europe</t>
        </is>
      </c>
      <c r="D111" s="28" t="inlineStr">
        <is>
          <t>Hedge Funds</t>
        </is>
      </c>
      <c r="E111" s="29" t="n">
        <v>2596512.02</v>
      </c>
      <c r="F111" s="29" t="n">
        <v>2316946.64</v>
      </c>
      <c r="G111" s="29" t="n">
        <v>1755704.63</v>
      </c>
      <c r="H111" s="29" t="n">
        <v>1746320.4</v>
      </c>
      <c r="I111" s="28" t="n">
        <v>2024</v>
      </c>
      <c r="J111" s="32" t="n">
        <v>-279565.38</v>
      </c>
      <c r="K111" s="30" t="n">
        <v>-10.77</v>
      </c>
      <c r="L111" s="32" t="n">
        <v>-9384.23</v>
      </c>
      <c r="M111" s="30" t="n">
        <v>-0.53</v>
      </c>
      <c r="N111" s="29" t="n">
        <v>840807.39</v>
      </c>
      <c r="O111" s="29" t="n">
        <v>570626.24</v>
      </c>
      <c r="P111" s="32" t="n">
        <v>-270181.15</v>
      </c>
      <c r="Q111" s="30" t="n">
        <v>32.38</v>
      </c>
      <c r="R111" s="30" t="n">
        <v>24.63</v>
      </c>
    </row>
    <row r="112">
      <c r="A112" s="25" t="inlineStr">
        <is>
          <t>May</t>
        </is>
      </c>
      <c r="B112" s="25" t="n">
        <v>5</v>
      </c>
      <c r="C112" s="25" t="inlineStr">
        <is>
          <t>Europe</t>
        </is>
      </c>
      <c r="D112" s="25" t="inlineStr">
        <is>
          <t>Private Equity</t>
        </is>
      </c>
      <c r="E112" s="26" t="n">
        <v>3890609.74</v>
      </c>
      <c r="F112" s="26" t="n">
        <v>4011479.19</v>
      </c>
      <c r="G112" s="26" t="n">
        <v>2208543.62</v>
      </c>
      <c r="H112" s="26" t="n">
        <v>2022600.64</v>
      </c>
      <c r="I112" s="25" t="n">
        <v>2024</v>
      </c>
      <c r="J112" s="33" t="n">
        <v>120869.45</v>
      </c>
      <c r="K112" s="27" t="n">
        <v>3.11</v>
      </c>
      <c r="L112" s="32" t="n">
        <v>-185942.98</v>
      </c>
      <c r="M112" s="27" t="n">
        <v>-8.42</v>
      </c>
      <c r="N112" s="26" t="n">
        <v>1682066.12</v>
      </c>
      <c r="O112" s="26" t="n">
        <v>1988878.55</v>
      </c>
      <c r="P112" s="33" t="n">
        <v>306812.43</v>
      </c>
      <c r="Q112" s="27" t="n">
        <v>43.23</v>
      </c>
      <c r="R112" s="27" t="n">
        <v>49.58</v>
      </c>
    </row>
    <row r="113">
      <c r="A113" s="28" t="inlineStr">
        <is>
          <t>May</t>
        </is>
      </c>
      <c r="B113" s="28" t="n">
        <v>5</v>
      </c>
      <c r="C113" s="28" t="inlineStr">
        <is>
          <t>Asia Pacific</t>
        </is>
      </c>
      <c r="D113" s="28" t="inlineStr">
        <is>
          <t>Equity Funds</t>
        </is>
      </c>
      <c r="E113" s="29" t="n">
        <v>3476470.42</v>
      </c>
      <c r="F113" s="29" t="n">
        <v>3158124.37</v>
      </c>
      <c r="G113" s="29" t="n">
        <v>1802714.73</v>
      </c>
      <c r="H113" s="29" t="n">
        <v>1848713.23</v>
      </c>
      <c r="I113" s="28" t="n">
        <v>2024</v>
      </c>
      <c r="J113" s="32" t="n">
        <v>-318346.05</v>
      </c>
      <c r="K113" s="30" t="n">
        <v>-9.16</v>
      </c>
      <c r="L113" s="33" t="n">
        <v>45998.5</v>
      </c>
      <c r="M113" s="30" t="n">
        <v>2.55</v>
      </c>
      <c r="N113" s="29" t="n">
        <v>1673755.69</v>
      </c>
      <c r="O113" s="29" t="n">
        <v>1309411.14</v>
      </c>
      <c r="P113" s="32" t="n">
        <v>-364344.55</v>
      </c>
      <c r="Q113" s="30" t="n">
        <v>48.15</v>
      </c>
      <c r="R113" s="30" t="n">
        <v>41.46</v>
      </c>
    </row>
    <row r="114">
      <c r="A114" s="25" t="inlineStr">
        <is>
          <t>May</t>
        </is>
      </c>
      <c r="B114" s="25" t="n">
        <v>5</v>
      </c>
      <c r="C114" s="25" t="inlineStr">
        <is>
          <t>Asia Pacific</t>
        </is>
      </c>
      <c r="D114" s="25" t="inlineStr">
        <is>
          <t>Fixed Income</t>
        </is>
      </c>
      <c r="E114" s="26" t="n">
        <v>4139716.27</v>
      </c>
      <c r="F114" s="26" t="n">
        <v>4090550.81</v>
      </c>
      <c r="G114" s="26" t="n">
        <v>2109083.49</v>
      </c>
      <c r="H114" s="26" t="n">
        <v>2291392.67</v>
      </c>
      <c r="I114" s="25" t="n">
        <v>2024</v>
      </c>
      <c r="J114" s="32" t="n">
        <v>-49165.46</v>
      </c>
      <c r="K114" s="27" t="n">
        <v>-1.19</v>
      </c>
      <c r="L114" s="33" t="n">
        <v>182309.18</v>
      </c>
      <c r="M114" s="27" t="n">
        <v>8.640000000000001</v>
      </c>
      <c r="N114" s="26" t="n">
        <v>2030632.78</v>
      </c>
      <c r="O114" s="26" t="n">
        <v>1799158.14</v>
      </c>
      <c r="P114" s="32" t="n">
        <v>-231474.64</v>
      </c>
      <c r="Q114" s="27" t="n">
        <v>49.05</v>
      </c>
      <c r="R114" s="27" t="n">
        <v>43.98</v>
      </c>
    </row>
    <row r="115">
      <c r="A115" s="28" t="inlineStr">
        <is>
          <t>May</t>
        </is>
      </c>
      <c r="B115" s="28" t="n">
        <v>5</v>
      </c>
      <c r="C115" s="28" t="inlineStr">
        <is>
          <t>Asia Pacific</t>
        </is>
      </c>
      <c r="D115" s="28" t="inlineStr">
        <is>
          <t>Real Estate</t>
        </is>
      </c>
      <c r="E115" s="29" t="n">
        <v>5078145.16</v>
      </c>
      <c r="F115" s="29" t="n">
        <v>5211758.36</v>
      </c>
      <c r="G115" s="29" t="n">
        <v>2814340.55</v>
      </c>
      <c r="H115" s="29" t="n">
        <v>3116661.65</v>
      </c>
      <c r="I115" s="28" t="n">
        <v>2024</v>
      </c>
      <c r="J115" s="33" t="n">
        <v>133613.2</v>
      </c>
      <c r="K115" s="30" t="n">
        <v>2.63</v>
      </c>
      <c r="L115" s="33" t="n">
        <v>302321.1</v>
      </c>
      <c r="M115" s="30" t="n">
        <v>10.74</v>
      </c>
      <c r="N115" s="29" t="n">
        <v>2263804.61</v>
      </c>
      <c r="O115" s="29" t="n">
        <v>2095096.71</v>
      </c>
      <c r="P115" s="32" t="n">
        <v>-168707.9</v>
      </c>
      <c r="Q115" s="30" t="n">
        <v>44.58</v>
      </c>
      <c r="R115" s="30" t="n">
        <v>40.2</v>
      </c>
    </row>
    <row r="116">
      <c r="A116" s="25" t="inlineStr">
        <is>
          <t>May</t>
        </is>
      </c>
      <c r="B116" s="25" t="n">
        <v>5</v>
      </c>
      <c r="C116" s="25" t="inlineStr">
        <is>
          <t>Asia Pacific</t>
        </is>
      </c>
      <c r="D116" s="25" t="inlineStr">
        <is>
          <t>Hedge Funds</t>
        </is>
      </c>
      <c r="E116" s="26" t="n">
        <v>1726379.13</v>
      </c>
      <c r="F116" s="26" t="n">
        <v>1584287.26</v>
      </c>
      <c r="G116" s="26" t="n">
        <v>802600.61</v>
      </c>
      <c r="H116" s="26" t="n">
        <v>720747.84</v>
      </c>
      <c r="I116" s="25" t="n">
        <v>2024</v>
      </c>
      <c r="J116" s="32" t="n">
        <v>-142091.87</v>
      </c>
      <c r="K116" s="27" t="n">
        <v>-8.23</v>
      </c>
      <c r="L116" s="32" t="n">
        <v>-81852.77</v>
      </c>
      <c r="M116" s="27" t="n">
        <v>-10.2</v>
      </c>
      <c r="N116" s="26" t="n">
        <v>923778.52</v>
      </c>
      <c r="O116" s="26" t="n">
        <v>863539.42</v>
      </c>
      <c r="P116" s="32" t="n">
        <v>-60239.1</v>
      </c>
      <c r="Q116" s="27" t="n">
        <v>53.51</v>
      </c>
      <c r="R116" s="27" t="n">
        <v>54.51</v>
      </c>
    </row>
    <row r="117">
      <c r="A117" s="28" t="inlineStr">
        <is>
          <t>May</t>
        </is>
      </c>
      <c r="B117" s="28" t="n">
        <v>5</v>
      </c>
      <c r="C117" s="28" t="inlineStr">
        <is>
          <t>Asia Pacific</t>
        </is>
      </c>
      <c r="D117" s="28" t="inlineStr">
        <is>
          <t>Private Equity</t>
        </is>
      </c>
      <c r="E117" s="29" t="n">
        <v>826458.6800000001</v>
      </c>
      <c r="F117" s="29" t="n">
        <v>785054.9399999999</v>
      </c>
      <c r="G117" s="29" t="n">
        <v>449203.36</v>
      </c>
      <c r="H117" s="29" t="n">
        <v>471515.02</v>
      </c>
      <c r="I117" s="28" t="n">
        <v>2024</v>
      </c>
      <c r="J117" s="32" t="n">
        <v>-41403.74</v>
      </c>
      <c r="K117" s="30" t="n">
        <v>-5.01</v>
      </c>
      <c r="L117" s="33" t="n">
        <v>22311.66</v>
      </c>
      <c r="M117" s="30" t="n">
        <v>4.97</v>
      </c>
      <c r="N117" s="29" t="n">
        <v>377255.32</v>
      </c>
      <c r="O117" s="29" t="n">
        <v>313539.92</v>
      </c>
      <c r="P117" s="32" t="n">
        <v>-63715.4</v>
      </c>
      <c r="Q117" s="30" t="n">
        <v>45.65</v>
      </c>
      <c r="R117" s="30" t="n">
        <v>39.94</v>
      </c>
    </row>
    <row r="118">
      <c r="A118" s="25" t="inlineStr">
        <is>
          <t>May</t>
        </is>
      </c>
      <c r="B118" s="25" t="n">
        <v>5</v>
      </c>
      <c r="C118" s="25" t="inlineStr">
        <is>
          <t>Latin America</t>
        </is>
      </c>
      <c r="D118" s="25" t="inlineStr">
        <is>
          <t>Equity Funds</t>
        </is>
      </c>
      <c r="E118" s="26" t="n">
        <v>3893181.92</v>
      </c>
      <c r="F118" s="26" t="n">
        <v>4289269</v>
      </c>
      <c r="G118" s="26" t="n">
        <v>2326410.35</v>
      </c>
      <c r="H118" s="26" t="n">
        <v>2396235.05</v>
      </c>
      <c r="I118" s="25" t="n">
        <v>2024</v>
      </c>
      <c r="J118" s="33" t="n">
        <v>396087.08</v>
      </c>
      <c r="K118" s="27" t="n">
        <v>10.17</v>
      </c>
      <c r="L118" s="33" t="n">
        <v>69824.7</v>
      </c>
      <c r="M118" s="27" t="n">
        <v>3</v>
      </c>
      <c r="N118" s="26" t="n">
        <v>1566771.57</v>
      </c>
      <c r="O118" s="26" t="n">
        <v>1893033.95</v>
      </c>
      <c r="P118" s="33" t="n">
        <v>326262.38</v>
      </c>
      <c r="Q118" s="27" t="n">
        <v>40.24</v>
      </c>
      <c r="R118" s="27" t="n">
        <v>44.13</v>
      </c>
    </row>
    <row r="119">
      <c r="A119" s="28" t="inlineStr">
        <is>
          <t>May</t>
        </is>
      </c>
      <c r="B119" s="28" t="n">
        <v>5</v>
      </c>
      <c r="C119" s="28" t="inlineStr">
        <is>
          <t>Latin America</t>
        </is>
      </c>
      <c r="D119" s="28" t="inlineStr">
        <is>
          <t>Fixed Income</t>
        </is>
      </c>
      <c r="E119" s="29" t="n">
        <v>3523413.66</v>
      </c>
      <c r="F119" s="29" t="n">
        <v>3561096.47</v>
      </c>
      <c r="G119" s="29" t="n">
        <v>2688657.83</v>
      </c>
      <c r="H119" s="29" t="n">
        <v>2952196.7</v>
      </c>
      <c r="I119" s="28" t="n">
        <v>2024</v>
      </c>
      <c r="J119" s="33" t="n">
        <v>37682.81</v>
      </c>
      <c r="K119" s="30" t="n">
        <v>1.07</v>
      </c>
      <c r="L119" s="33" t="n">
        <v>263538.87</v>
      </c>
      <c r="M119" s="30" t="n">
        <v>9.800000000000001</v>
      </c>
      <c r="N119" s="29" t="n">
        <v>834755.83</v>
      </c>
      <c r="O119" s="29" t="n">
        <v>608899.77</v>
      </c>
      <c r="P119" s="32" t="n">
        <v>-225856.06</v>
      </c>
      <c r="Q119" s="30" t="n">
        <v>23.69</v>
      </c>
      <c r="R119" s="30" t="n">
        <v>17.1</v>
      </c>
    </row>
    <row r="120">
      <c r="A120" s="25" t="inlineStr">
        <is>
          <t>May</t>
        </is>
      </c>
      <c r="B120" s="25" t="n">
        <v>5</v>
      </c>
      <c r="C120" s="25" t="inlineStr">
        <is>
          <t>Latin America</t>
        </is>
      </c>
      <c r="D120" s="25" t="inlineStr">
        <is>
          <t>Real Estate</t>
        </is>
      </c>
      <c r="E120" s="26" t="n">
        <v>3986425.27</v>
      </c>
      <c r="F120" s="26" t="n">
        <v>3802359.4</v>
      </c>
      <c r="G120" s="26" t="n">
        <v>2114121.17</v>
      </c>
      <c r="H120" s="26" t="n">
        <v>2149236.07</v>
      </c>
      <c r="I120" s="25" t="n">
        <v>2024</v>
      </c>
      <c r="J120" s="32" t="n">
        <v>-184065.87</v>
      </c>
      <c r="K120" s="27" t="n">
        <v>-4.62</v>
      </c>
      <c r="L120" s="33" t="n">
        <v>35114.9</v>
      </c>
      <c r="M120" s="27" t="n">
        <v>1.66</v>
      </c>
      <c r="N120" s="26" t="n">
        <v>1872304.1</v>
      </c>
      <c r="O120" s="26" t="n">
        <v>1653123.33</v>
      </c>
      <c r="P120" s="32" t="n">
        <v>-219180.77</v>
      </c>
      <c r="Q120" s="27" t="n">
        <v>46.97</v>
      </c>
      <c r="R120" s="27" t="n">
        <v>43.48</v>
      </c>
    </row>
    <row r="121">
      <c r="A121" s="28" t="inlineStr">
        <is>
          <t>May</t>
        </is>
      </c>
      <c r="B121" s="28" t="n">
        <v>5</v>
      </c>
      <c r="C121" s="28" t="inlineStr">
        <is>
          <t>Latin America</t>
        </is>
      </c>
      <c r="D121" s="28" t="inlineStr">
        <is>
          <t>Hedge Funds</t>
        </is>
      </c>
      <c r="E121" s="29" t="n">
        <v>2088094.7</v>
      </c>
      <c r="F121" s="29" t="n">
        <v>2188189.78</v>
      </c>
      <c r="G121" s="29" t="n">
        <v>1067352.37</v>
      </c>
      <c r="H121" s="29" t="n">
        <v>1067473.33</v>
      </c>
      <c r="I121" s="28" t="n">
        <v>2024</v>
      </c>
      <c r="J121" s="33" t="n">
        <v>100095.08</v>
      </c>
      <c r="K121" s="30" t="n">
        <v>4.79</v>
      </c>
      <c r="L121" s="33" t="n">
        <v>120.96</v>
      </c>
      <c r="M121" s="30" t="n">
        <v>0.01</v>
      </c>
      <c r="N121" s="29" t="n">
        <v>1020742.33</v>
      </c>
      <c r="O121" s="29" t="n">
        <v>1120716.45</v>
      </c>
      <c r="P121" s="33" t="n">
        <v>99974.12</v>
      </c>
      <c r="Q121" s="30" t="n">
        <v>48.88</v>
      </c>
      <c r="R121" s="30" t="n">
        <v>51.22</v>
      </c>
    </row>
    <row r="122">
      <c r="A122" s="25" t="inlineStr">
        <is>
          <t>May</t>
        </is>
      </c>
      <c r="B122" s="25" t="n">
        <v>5</v>
      </c>
      <c r="C122" s="25" t="inlineStr">
        <is>
          <t>Latin America</t>
        </is>
      </c>
      <c r="D122" s="25" t="inlineStr">
        <is>
          <t>Private Equity</t>
        </is>
      </c>
      <c r="E122" s="26" t="n">
        <v>2609457.43</v>
      </c>
      <c r="F122" s="26" t="n">
        <v>2566889.04</v>
      </c>
      <c r="G122" s="26" t="n">
        <v>1314206.55</v>
      </c>
      <c r="H122" s="26" t="n">
        <v>1235470.2</v>
      </c>
      <c r="I122" s="25" t="n">
        <v>2024</v>
      </c>
      <c r="J122" s="32" t="n">
        <v>-42568.39</v>
      </c>
      <c r="K122" s="27" t="n">
        <v>-1.63</v>
      </c>
      <c r="L122" s="32" t="n">
        <v>-78736.35000000001</v>
      </c>
      <c r="M122" s="27" t="n">
        <v>-5.99</v>
      </c>
      <c r="N122" s="26" t="n">
        <v>1295250.88</v>
      </c>
      <c r="O122" s="26" t="n">
        <v>1331418.84</v>
      </c>
      <c r="P122" s="33" t="n">
        <v>36167.96</v>
      </c>
      <c r="Q122" s="27" t="n">
        <v>49.64</v>
      </c>
      <c r="R122" s="27" t="n">
        <v>51.87</v>
      </c>
    </row>
    <row r="123">
      <c r="A123" s="28" t="inlineStr">
        <is>
          <t>May</t>
        </is>
      </c>
      <c r="B123" s="28" t="n">
        <v>5</v>
      </c>
      <c r="C123" s="28" t="inlineStr">
        <is>
          <t>Middle East</t>
        </is>
      </c>
      <c r="D123" s="28" t="inlineStr">
        <is>
          <t>Equity Funds</t>
        </is>
      </c>
      <c r="E123" s="29" t="n">
        <v>1263099.23</v>
      </c>
      <c r="F123" s="29" t="n">
        <v>1285895.37</v>
      </c>
      <c r="G123" s="29" t="n">
        <v>952966.85</v>
      </c>
      <c r="H123" s="29" t="n">
        <v>1067225.08</v>
      </c>
      <c r="I123" s="28" t="n">
        <v>2024</v>
      </c>
      <c r="J123" s="33" t="n">
        <v>22796.14</v>
      </c>
      <c r="K123" s="30" t="n">
        <v>1.8</v>
      </c>
      <c r="L123" s="33" t="n">
        <v>114258.23</v>
      </c>
      <c r="M123" s="30" t="n">
        <v>11.99</v>
      </c>
      <c r="N123" s="29" t="n">
        <v>310132.38</v>
      </c>
      <c r="O123" s="29" t="n">
        <v>218670.29</v>
      </c>
      <c r="P123" s="32" t="n">
        <v>-91462.09</v>
      </c>
      <c r="Q123" s="30" t="n">
        <v>24.55</v>
      </c>
      <c r="R123" s="30" t="n">
        <v>17.01</v>
      </c>
    </row>
    <row r="124">
      <c r="A124" s="25" t="inlineStr">
        <is>
          <t>May</t>
        </is>
      </c>
      <c r="B124" s="25" t="n">
        <v>5</v>
      </c>
      <c r="C124" s="25" t="inlineStr">
        <is>
          <t>Middle East</t>
        </is>
      </c>
      <c r="D124" s="25" t="inlineStr">
        <is>
          <t>Fixed Income</t>
        </is>
      </c>
      <c r="E124" s="26" t="n">
        <v>3290380.95</v>
      </c>
      <c r="F124" s="26" t="n">
        <v>3492754.25</v>
      </c>
      <c r="G124" s="26" t="n">
        <v>1912241.97</v>
      </c>
      <c r="H124" s="26" t="n">
        <v>1981775.44</v>
      </c>
      <c r="I124" s="25" t="n">
        <v>2024</v>
      </c>
      <c r="J124" s="33" t="n">
        <v>202373.3</v>
      </c>
      <c r="K124" s="27" t="n">
        <v>6.15</v>
      </c>
      <c r="L124" s="33" t="n">
        <v>69533.47</v>
      </c>
      <c r="M124" s="27" t="n">
        <v>3.64</v>
      </c>
      <c r="N124" s="26" t="n">
        <v>1378138.98</v>
      </c>
      <c r="O124" s="26" t="n">
        <v>1510978.81</v>
      </c>
      <c r="P124" s="33" t="n">
        <v>132839.83</v>
      </c>
      <c r="Q124" s="27" t="n">
        <v>41.88</v>
      </c>
      <c r="R124" s="27" t="n">
        <v>43.26</v>
      </c>
    </row>
    <row r="125">
      <c r="A125" s="28" t="inlineStr">
        <is>
          <t>May</t>
        </is>
      </c>
      <c r="B125" s="28" t="n">
        <v>5</v>
      </c>
      <c r="C125" s="28" t="inlineStr">
        <is>
          <t>Middle East</t>
        </is>
      </c>
      <c r="D125" s="28" t="inlineStr">
        <is>
          <t>Real Estate</t>
        </is>
      </c>
      <c r="E125" s="29" t="n">
        <v>4726819.69</v>
      </c>
      <c r="F125" s="29" t="n">
        <v>4879724.43</v>
      </c>
      <c r="G125" s="29" t="n">
        <v>2340539.49</v>
      </c>
      <c r="H125" s="29" t="n">
        <v>2110928.3</v>
      </c>
      <c r="I125" s="28" t="n">
        <v>2024</v>
      </c>
      <c r="J125" s="33" t="n">
        <v>152904.74</v>
      </c>
      <c r="K125" s="30" t="n">
        <v>3.23</v>
      </c>
      <c r="L125" s="32" t="n">
        <v>-229611.19</v>
      </c>
      <c r="M125" s="30" t="n">
        <v>-9.81</v>
      </c>
      <c r="N125" s="29" t="n">
        <v>2386280.2</v>
      </c>
      <c r="O125" s="29" t="n">
        <v>2768796.13</v>
      </c>
      <c r="P125" s="33" t="n">
        <v>382515.93</v>
      </c>
      <c r="Q125" s="30" t="n">
        <v>50.48</v>
      </c>
      <c r="R125" s="30" t="n">
        <v>56.74</v>
      </c>
    </row>
    <row r="126">
      <c r="A126" s="25" t="inlineStr">
        <is>
          <t>May</t>
        </is>
      </c>
      <c r="B126" s="25" t="n">
        <v>5</v>
      </c>
      <c r="C126" s="25" t="inlineStr">
        <is>
          <t>Middle East</t>
        </is>
      </c>
      <c r="D126" s="25" t="inlineStr">
        <is>
          <t>Hedge Funds</t>
        </is>
      </c>
      <c r="E126" s="26" t="n">
        <v>2338385.66</v>
      </c>
      <c r="F126" s="26" t="n">
        <v>2539149.97</v>
      </c>
      <c r="G126" s="26" t="n">
        <v>1201435.99</v>
      </c>
      <c r="H126" s="26" t="n">
        <v>1257280.76</v>
      </c>
      <c r="I126" s="25" t="n">
        <v>2024</v>
      </c>
      <c r="J126" s="33" t="n">
        <v>200764.31</v>
      </c>
      <c r="K126" s="27" t="n">
        <v>8.59</v>
      </c>
      <c r="L126" s="33" t="n">
        <v>55844.77</v>
      </c>
      <c r="M126" s="27" t="n">
        <v>4.65</v>
      </c>
      <c r="N126" s="26" t="n">
        <v>1136949.67</v>
      </c>
      <c r="O126" s="26" t="n">
        <v>1281869.21</v>
      </c>
      <c r="P126" s="33" t="n">
        <v>144919.54</v>
      </c>
      <c r="Q126" s="27" t="n">
        <v>48.62</v>
      </c>
      <c r="R126" s="27" t="n">
        <v>50.48</v>
      </c>
    </row>
    <row r="127">
      <c r="A127" s="28" t="inlineStr">
        <is>
          <t>May</t>
        </is>
      </c>
      <c r="B127" s="28" t="n">
        <v>5</v>
      </c>
      <c r="C127" s="28" t="inlineStr">
        <is>
          <t>Middle East</t>
        </is>
      </c>
      <c r="D127" s="28" t="inlineStr">
        <is>
          <t>Private Equity</t>
        </is>
      </c>
      <c r="E127" s="29" t="n">
        <v>2136600.57</v>
      </c>
      <c r="F127" s="29" t="n">
        <v>2162289.32</v>
      </c>
      <c r="G127" s="29" t="n">
        <v>1461504.48</v>
      </c>
      <c r="H127" s="29" t="n">
        <v>1396444.32</v>
      </c>
      <c r="I127" s="28" t="n">
        <v>2024</v>
      </c>
      <c r="J127" s="33" t="n">
        <v>25688.75</v>
      </c>
      <c r="K127" s="30" t="n">
        <v>1.2</v>
      </c>
      <c r="L127" s="32" t="n">
        <v>-65060.16</v>
      </c>
      <c r="M127" s="30" t="n">
        <v>-4.45</v>
      </c>
      <c r="N127" s="29" t="n">
        <v>675096.09</v>
      </c>
      <c r="O127" s="29" t="n">
        <v>765845</v>
      </c>
      <c r="P127" s="33" t="n">
        <v>90748.91</v>
      </c>
      <c r="Q127" s="30" t="n">
        <v>31.6</v>
      </c>
      <c r="R127" s="30" t="n">
        <v>35.42</v>
      </c>
    </row>
    <row r="128">
      <c r="A128" s="25" t="inlineStr">
        <is>
          <t>Jun</t>
        </is>
      </c>
      <c r="B128" s="25" t="n">
        <v>6</v>
      </c>
      <c r="C128" s="25" t="inlineStr">
        <is>
          <t>North America</t>
        </is>
      </c>
      <c r="D128" s="25" t="inlineStr">
        <is>
          <t>Equity Funds</t>
        </is>
      </c>
      <c r="E128" s="26" t="n">
        <v>2116396.65</v>
      </c>
      <c r="F128" s="26" t="n">
        <v>2123810.6</v>
      </c>
      <c r="G128" s="26" t="n">
        <v>1755113.98</v>
      </c>
      <c r="H128" s="26" t="n">
        <v>1821524.85</v>
      </c>
      <c r="I128" s="25" t="n">
        <v>2024</v>
      </c>
      <c r="J128" s="33" t="n">
        <v>7413.95</v>
      </c>
      <c r="K128" s="27" t="n">
        <v>0.35</v>
      </c>
      <c r="L128" s="33" t="n">
        <v>66410.87</v>
      </c>
      <c r="M128" s="27" t="n">
        <v>3.78</v>
      </c>
      <c r="N128" s="26" t="n">
        <v>361282.67</v>
      </c>
      <c r="O128" s="26" t="n">
        <v>302285.75</v>
      </c>
      <c r="P128" s="32" t="n">
        <v>-58996.92</v>
      </c>
      <c r="Q128" s="27" t="n">
        <v>17.07</v>
      </c>
      <c r="R128" s="27" t="n">
        <v>14.23</v>
      </c>
    </row>
    <row r="129">
      <c r="A129" s="28" t="inlineStr">
        <is>
          <t>Jun</t>
        </is>
      </c>
      <c r="B129" s="28" t="n">
        <v>6</v>
      </c>
      <c r="C129" s="28" t="inlineStr">
        <is>
          <t>North America</t>
        </is>
      </c>
      <c r="D129" s="28" t="inlineStr">
        <is>
          <t>Fixed Income</t>
        </is>
      </c>
      <c r="E129" s="29" t="n">
        <v>2886513.11</v>
      </c>
      <c r="F129" s="29" t="n">
        <v>2790758.94</v>
      </c>
      <c r="G129" s="29" t="n">
        <v>1857842.97</v>
      </c>
      <c r="H129" s="29" t="n">
        <v>1913760.51</v>
      </c>
      <c r="I129" s="28" t="n">
        <v>2024</v>
      </c>
      <c r="J129" s="32" t="n">
        <v>-95754.17</v>
      </c>
      <c r="K129" s="30" t="n">
        <v>-3.32</v>
      </c>
      <c r="L129" s="33" t="n">
        <v>55917.54</v>
      </c>
      <c r="M129" s="30" t="n">
        <v>3.01</v>
      </c>
      <c r="N129" s="29" t="n">
        <v>1028670.14</v>
      </c>
      <c r="O129" s="29" t="n">
        <v>876998.4300000001</v>
      </c>
      <c r="P129" s="32" t="n">
        <v>-151671.71</v>
      </c>
      <c r="Q129" s="30" t="n">
        <v>35.64</v>
      </c>
      <c r="R129" s="30" t="n">
        <v>31.43</v>
      </c>
    </row>
    <row r="130">
      <c r="A130" s="25" t="inlineStr">
        <is>
          <t>Jun</t>
        </is>
      </c>
      <c r="B130" s="25" t="n">
        <v>6</v>
      </c>
      <c r="C130" s="25" t="inlineStr">
        <is>
          <t>North America</t>
        </is>
      </c>
      <c r="D130" s="25" t="inlineStr">
        <is>
          <t>Real Estate</t>
        </is>
      </c>
      <c r="E130" s="26" t="n">
        <v>4031256.82</v>
      </c>
      <c r="F130" s="26" t="n">
        <v>4445030.92</v>
      </c>
      <c r="G130" s="26" t="n">
        <v>2014910.41</v>
      </c>
      <c r="H130" s="26" t="n">
        <v>2110779.86</v>
      </c>
      <c r="I130" s="25" t="n">
        <v>2024</v>
      </c>
      <c r="J130" s="33" t="n">
        <v>413774.1</v>
      </c>
      <c r="K130" s="27" t="n">
        <v>10.26</v>
      </c>
      <c r="L130" s="33" t="n">
        <v>95869.45</v>
      </c>
      <c r="M130" s="27" t="n">
        <v>4.76</v>
      </c>
      <c r="N130" s="26" t="n">
        <v>2016346.41</v>
      </c>
      <c r="O130" s="26" t="n">
        <v>2334251.06</v>
      </c>
      <c r="P130" s="33" t="n">
        <v>317904.65</v>
      </c>
      <c r="Q130" s="27" t="n">
        <v>50.02</v>
      </c>
      <c r="R130" s="27" t="n">
        <v>52.51</v>
      </c>
    </row>
    <row r="131">
      <c r="A131" s="28" t="inlineStr">
        <is>
          <t>Jun</t>
        </is>
      </c>
      <c r="B131" s="28" t="n">
        <v>6</v>
      </c>
      <c r="C131" s="28" t="inlineStr">
        <is>
          <t>North America</t>
        </is>
      </c>
      <c r="D131" s="28" t="inlineStr">
        <is>
          <t>Hedge Funds</t>
        </is>
      </c>
      <c r="E131" s="29" t="n">
        <v>1338513.7</v>
      </c>
      <c r="F131" s="29" t="n">
        <v>1254764.76</v>
      </c>
      <c r="G131" s="29" t="n">
        <v>905531.83</v>
      </c>
      <c r="H131" s="29" t="n">
        <v>916580.55</v>
      </c>
      <c r="I131" s="28" t="n">
        <v>2024</v>
      </c>
      <c r="J131" s="32" t="n">
        <v>-83748.94</v>
      </c>
      <c r="K131" s="30" t="n">
        <v>-6.26</v>
      </c>
      <c r="L131" s="33" t="n">
        <v>11048.72</v>
      </c>
      <c r="M131" s="30" t="n">
        <v>1.22</v>
      </c>
      <c r="N131" s="29" t="n">
        <v>432981.87</v>
      </c>
      <c r="O131" s="29" t="n">
        <v>338184.21</v>
      </c>
      <c r="P131" s="32" t="n">
        <v>-94797.66</v>
      </c>
      <c r="Q131" s="30" t="n">
        <v>32.35</v>
      </c>
      <c r="R131" s="30" t="n">
        <v>26.95</v>
      </c>
    </row>
    <row r="132">
      <c r="A132" s="25" t="inlineStr">
        <is>
          <t>Jun</t>
        </is>
      </c>
      <c r="B132" s="25" t="n">
        <v>6</v>
      </c>
      <c r="C132" s="25" t="inlineStr">
        <is>
          <t>North America</t>
        </is>
      </c>
      <c r="D132" s="25" t="inlineStr">
        <is>
          <t>Private Equity</t>
        </is>
      </c>
      <c r="E132" s="26" t="n">
        <v>3426570.81</v>
      </c>
      <c r="F132" s="26" t="n">
        <v>3766154.84</v>
      </c>
      <c r="G132" s="26" t="n">
        <v>1479487.65</v>
      </c>
      <c r="H132" s="26" t="n">
        <v>1343658.66</v>
      </c>
      <c r="I132" s="25" t="n">
        <v>2024</v>
      </c>
      <c r="J132" s="33" t="n">
        <v>339584.03</v>
      </c>
      <c r="K132" s="27" t="n">
        <v>9.91</v>
      </c>
      <c r="L132" s="32" t="n">
        <v>-135828.99</v>
      </c>
      <c r="M132" s="27" t="n">
        <v>-9.18</v>
      </c>
      <c r="N132" s="26" t="n">
        <v>1947083.16</v>
      </c>
      <c r="O132" s="26" t="n">
        <v>2422496.18</v>
      </c>
      <c r="P132" s="33" t="n">
        <v>475413.02</v>
      </c>
      <c r="Q132" s="27" t="n">
        <v>56.82</v>
      </c>
      <c r="R132" s="27" t="n">
        <v>64.31999999999999</v>
      </c>
    </row>
    <row r="133">
      <c r="A133" s="28" t="inlineStr">
        <is>
          <t>Jun</t>
        </is>
      </c>
      <c r="B133" s="28" t="n">
        <v>6</v>
      </c>
      <c r="C133" s="28" t="inlineStr">
        <is>
          <t>Europe</t>
        </is>
      </c>
      <c r="D133" s="28" t="inlineStr">
        <is>
          <t>Equity Funds</t>
        </is>
      </c>
      <c r="E133" s="29" t="n">
        <v>4481063.64</v>
      </c>
      <c r="F133" s="29" t="n">
        <v>4490605.1</v>
      </c>
      <c r="G133" s="29" t="n">
        <v>2458225.64</v>
      </c>
      <c r="H133" s="29" t="n">
        <v>2655704.12</v>
      </c>
      <c r="I133" s="28" t="n">
        <v>2024</v>
      </c>
      <c r="J133" s="33" t="n">
        <v>9541.459999999999</v>
      </c>
      <c r="K133" s="30" t="n">
        <v>0.21</v>
      </c>
      <c r="L133" s="33" t="n">
        <v>197478.48</v>
      </c>
      <c r="M133" s="30" t="n">
        <v>8.029999999999999</v>
      </c>
      <c r="N133" s="29" t="n">
        <v>2022838</v>
      </c>
      <c r="O133" s="29" t="n">
        <v>1834900.98</v>
      </c>
      <c r="P133" s="32" t="n">
        <v>-187937.02</v>
      </c>
      <c r="Q133" s="30" t="n">
        <v>45.14</v>
      </c>
      <c r="R133" s="30" t="n">
        <v>40.86</v>
      </c>
    </row>
    <row r="134">
      <c r="A134" s="25" t="inlineStr">
        <is>
          <t>Jun</t>
        </is>
      </c>
      <c r="B134" s="25" t="n">
        <v>6</v>
      </c>
      <c r="C134" s="25" t="inlineStr">
        <is>
          <t>Europe</t>
        </is>
      </c>
      <c r="D134" s="25" t="inlineStr">
        <is>
          <t>Fixed Income</t>
        </is>
      </c>
      <c r="E134" s="26" t="n">
        <v>4967441.82</v>
      </c>
      <c r="F134" s="26" t="n">
        <v>4828654.69</v>
      </c>
      <c r="G134" s="26" t="n">
        <v>2789216.98</v>
      </c>
      <c r="H134" s="26" t="n">
        <v>2794733.53</v>
      </c>
      <c r="I134" s="25" t="n">
        <v>2024</v>
      </c>
      <c r="J134" s="32" t="n">
        <v>-138787.13</v>
      </c>
      <c r="K134" s="27" t="n">
        <v>-2.79</v>
      </c>
      <c r="L134" s="33" t="n">
        <v>5516.55</v>
      </c>
      <c r="M134" s="27" t="n">
        <v>0.2</v>
      </c>
      <c r="N134" s="26" t="n">
        <v>2178224.84</v>
      </c>
      <c r="O134" s="26" t="n">
        <v>2033921.16</v>
      </c>
      <c r="P134" s="32" t="n">
        <v>-144303.68</v>
      </c>
      <c r="Q134" s="27" t="n">
        <v>43.85</v>
      </c>
      <c r="R134" s="27" t="n">
        <v>42.12</v>
      </c>
    </row>
    <row r="135">
      <c r="A135" s="28" t="inlineStr">
        <is>
          <t>Jun</t>
        </is>
      </c>
      <c r="B135" s="28" t="n">
        <v>6</v>
      </c>
      <c r="C135" s="28" t="inlineStr">
        <is>
          <t>Europe</t>
        </is>
      </c>
      <c r="D135" s="28" t="inlineStr">
        <is>
          <t>Real Estate</t>
        </is>
      </c>
      <c r="E135" s="29" t="n">
        <v>4292098.57</v>
      </c>
      <c r="F135" s="29" t="n">
        <v>4590835</v>
      </c>
      <c r="G135" s="29" t="n">
        <v>3132383.89</v>
      </c>
      <c r="H135" s="29" t="n">
        <v>3458839.73</v>
      </c>
      <c r="I135" s="28" t="n">
        <v>2024</v>
      </c>
      <c r="J135" s="33" t="n">
        <v>298736.43</v>
      </c>
      <c r="K135" s="30" t="n">
        <v>6.96</v>
      </c>
      <c r="L135" s="33" t="n">
        <v>326455.84</v>
      </c>
      <c r="M135" s="30" t="n">
        <v>10.42</v>
      </c>
      <c r="N135" s="29" t="n">
        <v>1159714.68</v>
      </c>
      <c r="O135" s="29" t="n">
        <v>1131995.27</v>
      </c>
      <c r="P135" s="32" t="n">
        <v>-27719.41</v>
      </c>
      <c r="Q135" s="30" t="n">
        <v>27.02</v>
      </c>
      <c r="R135" s="30" t="n">
        <v>24.66</v>
      </c>
    </row>
    <row r="136">
      <c r="A136" s="25" t="inlineStr">
        <is>
          <t>Jun</t>
        </is>
      </c>
      <c r="B136" s="25" t="n">
        <v>6</v>
      </c>
      <c r="C136" s="25" t="inlineStr">
        <is>
          <t>Europe</t>
        </is>
      </c>
      <c r="D136" s="25" t="inlineStr">
        <is>
          <t>Hedge Funds</t>
        </is>
      </c>
      <c r="E136" s="26" t="n">
        <v>2805133.38</v>
      </c>
      <c r="F136" s="26" t="n">
        <v>2669514.73</v>
      </c>
      <c r="G136" s="26" t="n">
        <v>2076998.88</v>
      </c>
      <c r="H136" s="26" t="n">
        <v>2325691.58</v>
      </c>
      <c r="I136" s="25" t="n">
        <v>2024</v>
      </c>
      <c r="J136" s="32" t="n">
        <v>-135618.65</v>
      </c>
      <c r="K136" s="27" t="n">
        <v>-4.83</v>
      </c>
      <c r="L136" s="33" t="n">
        <v>248692.7</v>
      </c>
      <c r="M136" s="27" t="n">
        <v>11.97</v>
      </c>
      <c r="N136" s="26" t="n">
        <v>728134.5</v>
      </c>
      <c r="O136" s="26" t="n">
        <v>343823.15</v>
      </c>
      <c r="P136" s="32" t="n">
        <v>-384311.35</v>
      </c>
      <c r="Q136" s="27" t="n">
        <v>25.96</v>
      </c>
      <c r="R136" s="27" t="n">
        <v>12.88</v>
      </c>
    </row>
    <row r="137">
      <c r="A137" s="28" t="inlineStr">
        <is>
          <t>Jun</t>
        </is>
      </c>
      <c r="B137" s="28" t="n">
        <v>6</v>
      </c>
      <c r="C137" s="28" t="inlineStr">
        <is>
          <t>Europe</t>
        </is>
      </c>
      <c r="D137" s="28" t="inlineStr">
        <is>
          <t>Private Equity</t>
        </is>
      </c>
      <c r="E137" s="29" t="n">
        <v>2878530.46</v>
      </c>
      <c r="F137" s="29" t="n">
        <v>2771534.75</v>
      </c>
      <c r="G137" s="29" t="n">
        <v>1427427.98</v>
      </c>
      <c r="H137" s="29" t="n">
        <v>1442306.37</v>
      </c>
      <c r="I137" s="28" t="n">
        <v>2024</v>
      </c>
      <c r="J137" s="32" t="n">
        <v>-106995.71</v>
      </c>
      <c r="K137" s="30" t="n">
        <v>-3.72</v>
      </c>
      <c r="L137" s="33" t="n">
        <v>14878.39</v>
      </c>
      <c r="M137" s="30" t="n">
        <v>1.04</v>
      </c>
      <c r="N137" s="29" t="n">
        <v>1451102.48</v>
      </c>
      <c r="O137" s="29" t="n">
        <v>1329228.38</v>
      </c>
      <c r="P137" s="32" t="n">
        <v>-121874.1</v>
      </c>
      <c r="Q137" s="30" t="n">
        <v>50.41</v>
      </c>
      <c r="R137" s="30" t="n">
        <v>47.96</v>
      </c>
    </row>
    <row r="138">
      <c r="A138" s="25" t="inlineStr">
        <is>
          <t>Jun</t>
        </is>
      </c>
      <c r="B138" s="25" t="n">
        <v>6</v>
      </c>
      <c r="C138" s="25" t="inlineStr">
        <is>
          <t>Asia Pacific</t>
        </is>
      </c>
      <c r="D138" s="25" t="inlineStr">
        <is>
          <t>Equity Funds</t>
        </is>
      </c>
      <c r="E138" s="26" t="n">
        <v>2543544.58</v>
      </c>
      <c r="F138" s="26" t="n">
        <v>2664107.63</v>
      </c>
      <c r="G138" s="26" t="n">
        <v>1503729.74</v>
      </c>
      <c r="H138" s="26" t="n">
        <v>1407573.72</v>
      </c>
      <c r="I138" s="25" t="n">
        <v>2024</v>
      </c>
      <c r="J138" s="33" t="n">
        <v>120563.05</v>
      </c>
      <c r="K138" s="27" t="n">
        <v>4.74</v>
      </c>
      <c r="L138" s="32" t="n">
        <v>-96156.02</v>
      </c>
      <c r="M138" s="27" t="n">
        <v>-6.39</v>
      </c>
      <c r="N138" s="26" t="n">
        <v>1039814.84</v>
      </c>
      <c r="O138" s="26" t="n">
        <v>1256533.91</v>
      </c>
      <c r="P138" s="33" t="n">
        <v>216719.07</v>
      </c>
      <c r="Q138" s="27" t="n">
        <v>40.88</v>
      </c>
      <c r="R138" s="27" t="n">
        <v>47.17</v>
      </c>
    </row>
    <row r="139">
      <c r="A139" s="28" t="inlineStr">
        <is>
          <t>Jun</t>
        </is>
      </c>
      <c r="B139" s="28" t="n">
        <v>6</v>
      </c>
      <c r="C139" s="28" t="inlineStr">
        <is>
          <t>Asia Pacific</t>
        </is>
      </c>
      <c r="D139" s="28" t="inlineStr">
        <is>
          <t>Fixed Income</t>
        </is>
      </c>
      <c r="E139" s="29" t="n">
        <v>4255854.59</v>
      </c>
      <c r="F139" s="29" t="n">
        <v>4465475.39</v>
      </c>
      <c r="G139" s="29" t="n">
        <v>1995927.55</v>
      </c>
      <c r="H139" s="29" t="n">
        <v>1941356.7</v>
      </c>
      <c r="I139" s="28" t="n">
        <v>2024</v>
      </c>
      <c r="J139" s="33" t="n">
        <v>209620.8</v>
      </c>
      <c r="K139" s="30" t="n">
        <v>4.93</v>
      </c>
      <c r="L139" s="32" t="n">
        <v>-54570.85</v>
      </c>
      <c r="M139" s="30" t="n">
        <v>-2.73</v>
      </c>
      <c r="N139" s="29" t="n">
        <v>2259927.04</v>
      </c>
      <c r="O139" s="29" t="n">
        <v>2524118.69</v>
      </c>
      <c r="P139" s="33" t="n">
        <v>264191.65</v>
      </c>
      <c r="Q139" s="30" t="n">
        <v>53.1</v>
      </c>
      <c r="R139" s="30" t="n">
        <v>56.53</v>
      </c>
    </row>
    <row r="140">
      <c r="A140" s="25" t="inlineStr">
        <is>
          <t>Jun</t>
        </is>
      </c>
      <c r="B140" s="25" t="n">
        <v>6</v>
      </c>
      <c r="C140" s="25" t="inlineStr">
        <is>
          <t>Asia Pacific</t>
        </is>
      </c>
      <c r="D140" s="25" t="inlineStr">
        <is>
          <t>Real Estate</t>
        </is>
      </c>
      <c r="E140" s="26" t="n">
        <v>3932479.43</v>
      </c>
      <c r="F140" s="26" t="n">
        <v>3928070.63</v>
      </c>
      <c r="G140" s="26" t="n">
        <v>2266422.54</v>
      </c>
      <c r="H140" s="26" t="n">
        <v>2267668.79</v>
      </c>
      <c r="I140" s="25" t="n">
        <v>2024</v>
      </c>
      <c r="J140" s="32" t="n">
        <v>-4408.8</v>
      </c>
      <c r="K140" s="27" t="n">
        <v>-0.11</v>
      </c>
      <c r="L140" s="33" t="n">
        <v>1246.25</v>
      </c>
      <c r="M140" s="27" t="n">
        <v>0.05</v>
      </c>
      <c r="N140" s="26" t="n">
        <v>1666056.89</v>
      </c>
      <c r="O140" s="26" t="n">
        <v>1660401.84</v>
      </c>
      <c r="P140" s="32" t="n">
        <v>-5655.05</v>
      </c>
      <c r="Q140" s="27" t="n">
        <v>42.37</v>
      </c>
      <c r="R140" s="27" t="n">
        <v>42.27</v>
      </c>
    </row>
    <row r="141">
      <c r="A141" s="28" t="inlineStr">
        <is>
          <t>Jun</t>
        </is>
      </c>
      <c r="B141" s="28" t="n">
        <v>6</v>
      </c>
      <c r="C141" s="28" t="inlineStr">
        <is>
          <t>Asia Pacific</t>
        </is>
      </c>
      <c r="D141" s="28" t="inlineStr">
        <is>
          <t>Hedge Funds</t>
        </is>
      </c>
      <c r="E141" s="29" t="n">
        <v>3524133.72</v>
      </c>
      <c r="F141" s="29" t="n">
        <v>3473645.18</v>
      </c>
      <c r="G141" s="29" t="n">
        <v>2342999.91</v>
      </c>
      <c r="H141" s="29" t="n">
        <v>2318779.71</v>
      </c>
      <c r="I141" s="28" t="n">
        <v>2024</v>
      </c>
      <c r="J141" s="32" t="n">
        <v>-50488.54</v>
      </c>
      <c r="K141" s="30" t="n">
        <v>-1.43</v>
      </c>
      <c r="L141" s="32" t="n">
        <v>-24220.2</v>
      </c>
      <c r="M141" s="30" t="n">
        <v>-1.03</v>
      </c>
      <c r="N141" s="29" t="n">
        <v>1181133.81</v>
      </c>
      <c r="O141" s="29" t="n">
        <v>1154865.47</v>
      </c>
      <c r="P141" s="32" t="n">
        <v>-26268.34</v>
      </c>
      <c r="Q141" s="30" t="n">
        <v>33.52</v>
      </c>
      <c r="R141" s="30" t="n">
        <v>33.25</v>
      </c>
    </row>
    <row r="142">
      <c r="A142" s="25" t="inlineStr">
        <is>
          <t>Jun</t>
        </is>
      </c>
      <c r="B142" s="25" t="n">
        <v>6</v>
      </c>
      <c r="C142" s="25" t="inlineStr">
        <is>
          <t>Asia Pacific</t>
        </is>
      </c>
      <c r="D142" s="25" t="inlineStr">
        <is>
          <t>Private Equity</t>
        </is>
      </c>
      <c r="E142" s="26" t="n">
        <v>3952958.57</v>
      </c>
      <c r="F142" s="26" t="n">
        <v>3625047.58</v>
      </c>
      <c r="G142" s="26" t="n">
        <v>2183602.84</v>
      </c>
      <c r="H142" s="26" t="n">
        <v>2429495.89</v>
      </c>
      <c r="I142" s="25" t="n">
        <v>2024</v>
      </c>
      <c r="J142" s="32" t="n">
        <v>-327910.99</v>
      </c>
      <c r="K142" s="27" t="n">
        <v>-8.300000000000001</v>
      </c>
      <c r="L142" s="33" t="n">
        <v>245893.05</v>
      </c>
      <c r="M142" s="27" t="n">
        <v>11.26</v>
      </c>
      <c r="N142" s="26" t="n">
        <v>1769355.73</v>
      </c>
      <c r="O142" s="26" t="n">
        <v>1195551.69</v>
      </c>
      <c r="P142" s="32" t="n">
        <v>-573804.04</v>
      </c>
      <c r="Q142" s="27" t="n">
        <v>44.76</v>
      </c>
      <c r="R142" s="27" t="n">
        <v>32.98</v>
      </c>
    </row>
    <row r="143">
      <c r="A143" s="28" t="inlineStr">
        <is>
          <t>Jun</t>
        </is>
      </c>
      <c r="B143" s="28" t="n">
        <v>6</v>
      </c>
      <c r="C143" s="28" t="inlineStr">
        <is>
          <t>Latin America</t>
        </is>
      </c>
      <c r="D143" s="28" t="inlineStr">
        <is>
          <t>Equity Funds</t>
        </is>
      </c>
      <c r="E143" s="29" t="n">
        <v>2288543.31</v>
      </c>
      <c r="F143" s="29" t="n">
        <v>2481750.54</v>
      </c>
      <c r="G143" s="29" t="n">
        <v>1564627.16</v>
      </c>
      <c r="H143" s="29" t="n">
        <v>1699563.93</v>
      </c>
      <c r="I143" s="28" t="n">
        <v>2024</v>
      </c>
      <c r="J143" s="33" t="n">
        <v>193207.23</v>
      </c>
      <c r="K143" s="30" t="n">
        <v>8.44</v>
      </c>
      <c r="L143" s="33" t="n">
        <v>134936.77</v>
      </c>
      <c r="M143" s="30" t="n">
        <v>8.619999999999999</v>
      </c>
      <c r="N143" s="29" t="n">
        <v>723916.15</v>
      </c>
      <c r="O143" s="29" t="n">
        <v>782186.61</v>
      </c>
      <c r="P143" s="33" t="n">
        <v>58270.46</v>
      </c>
      <c r="Q143" s="30" t="n">
        <v>31.63</v>
      </c>
      <c r="R143" s="30" t="n">
        <v>31.52</v>
      </c>
    </row>
    <row r="144">
      <c r="A144" s="25" t="inlineStr">
        <is>
          <t>Jun</t>
        </is>
      </c>
      <c r="B144" s="25" t="n">
        <v>6</v>
      </c>
      <c r="C144" s="25" t="inlineStr">
        <is>
          <t>Latin America</t>
        </is>
      </c>
      <c r="D144" s="25" t="inlineStr">
        <is>
          <t>Fixed Income</t>
        </is>
      </c>
      <c r="E144" s="26" t="n">
        <v>2500850.59</v>
      </c>
      <c r="F144" s="26" t="n">
        <v>2656544.63</v>
      </c>
      <c r="G144" s="26" t="n">
        <v>1403091.89</v>
      </c>
      <c r="H144" s="26" t="n">
        <v>1246809.6</v>
      </c>
      <c r="I144" s="25" t="n">
        <v>2024</v>
      </c>
      <c r="J144" s="33" t="n">
        <v>155694.04</v>
      </c>
      <c r="K144" s="27" t="n">
        <v>6.23</v>
      </c>
      <c r="L144" s="32" t="n">
        <v>-156282.29</v>
      </c>
      <c r="M144" s="27" t="n">
        <v>-11.14</v>
      </c>
      <c r="N144" s="26" t="n">
        <v>1097758.7</v>
      </c>
      <c r="O144" s="26" t="n">
        <v>1409735.03</v>
      </c>
      <c r="P144" s="33" t="n">
        <v>311976.33</v>
      </c>
      <c r="Q144" s="27" t="n">
        <v>43.9</v>
      </c>
      <c r="R144" s="27" t="n">
        <v>53.07</v>
      </c>
    </row>
    <row r="145">
      <c r="A145" s="28" t="inlineStr">
        <is>
          <t>Jun</t>
        </is>
      </c>
      <c r="B145" s="28" t="n">
        <v>6</v>
      </c>
      <c r="C145" s="28" t="inlineStr">
        <is>
          <t>Latin America</t>
        </is>
      </c>
      <c r="D145" s="28" t="inlineStr">
        <is>
          <t>Real Estate</t>
        </is>
      </c>
      <c r="E145" s="29" t="n">
        <v>1178908.03</v>
      </c>
      <c r="F145" s="29" t="n">
        <v>1319648.69</v>
      </c>
      <c r="G145" s="29" t="n">
        <v>729517.05</v>
      </c>
      <c r="H145" s="29" t="n">
        <v>717956.51</v>
      </c>
      <c r="I145" s="28" t="n">
        <v>2024</v>
      </c>
      <c r="J145" s="33" t="n">
        <v>140740.66</v>
      </c>
      <c r="K145" s="30" t="n">
        <v>11.94</v>
      </c>
      <c r="L145" s="32" t="n">
        <v>-11560.54</v>
      </c>
      <c r="M145" s="30" t="n">
        <v>-1.58</v>
      </c>
      <c r="N145" s="29" t="n">
        <v>449390.98</v>
      </c>
      <c r="O145" s="29" t="n">
        <v>601692.1800000001</v>
      </c>
      <c r="P145" s="33" t="n">
        <v>152301.2</v>
      </c>
      <c r="Q145" s="30" t="n">
        <v>38.12</v>
      </c>
      <c r="R145" s="30" t="n">
        <v>45.59</v>
      </c>
    </row>
    <row r="146">
      <c r="A146" s="25" t="inlineStr">
        <is>
          <t>Jun</t>
        </is>
      </c>
      <c r="B146" s="25" t="n">
        <v>6</v>
      </c>
      <c r="C146" s="25" t="inlineStr">
        <is>
          <t>Latin America</t>
        </is>
      </c>
      <c r="D146" s="25" t="inlineStr">
        <is>
          <t>Hedge Funds</t>
        </is>
      </c>
      <c r="E146" s="26" t="n">
        <v>1303883.21</v>
      </c>
      <c r="F146" s="26" t="n">
        <v>1286258.43</v>
      </c>
      <c r="G146" s="26" t="n">
        <v>806904.72</v>
      </c>
      <c r="H146" s="26" t="n">
        <v>885030.67</v>
      </c>
      <c r="I146" s="25" t="n">
        <v>2024</v>
      </c>
      <c r="J146" s="32" t="n">
        <v>-17624.78</v>
      </c>
      <c r="K146" s="27" t="n">
        <v>-1.35</v>
      </c>
      <c r="L146" s="33" t="n">
        <v>78125.95</v>
      </c>
      <c r="M146" s="27" t="n">
        <v>9.68</v>
      </c>
      <c r="N146" s="26" t="n">
        <v>496978.49</v>
      </c>
      <c r="O146" s="26" t="n">
        <v>401227.76</v>
      </c>
      <c r="P146" s="32" t="n">
        <v>-95750.73</v>
      </c>
      <c r="Q146" s="27" t="n">
        <v>38.12</v>
      </c>
      <c r="R146" s="27" t="n">
        <v>31.19</v>
      </c>
    </row>
    <row r="147">
      <c r="A147" s="28" t="inlineStr">
        <is>
          <t>Jun</t>
        </is>
      </c>
      <c r="B147" s="28" t="n">
        <v>6</v>
      </c>
      <c r="C147" s="28" t="inlineStr">
        <is>
          <t>Latin America</t>
        </is>
      </c>
      <c r="D147" s="28" t="inlineStr">
        <is>
          <t>Private Equity</t>
        </is>
      </c>
      <c r="E147" s="29" t="n">
        <v>952118.21</v>
      </c>
      <c r="F147" s="29" t="n">
        <v>923518.35</v>
      </c>
      <c r="G147" s="29" t="n">
        <v>635637.3100000001</v>
      </c>
      <c r="H147" s="29" t="n">
        <v>640391.8199999999</v>
      </c>
      <c r="I147" s="28" t="n">
        <v>2024</v>
      </c>
      <c r="J147" s="32" t="n">
        <v>-28599.86</v>
      </c>
      <c r="K147" s="30" t="n">
        <v>-3</v>
      </c>
      <c r="L147" s="33" t="n">
        <v>4754.51</v>
      </c>
      <c r="M147" s="30" t="n">
        <v>0.75</v>
      </c>
      <c r="N147" s="29" t="n">
        <v>316480.9</v>
      </c>
      <c r="O147" s="29" t="n">
        <v>283126.53</v>
      </c>
      <c r="P147" s="32" t="n">
        <v>-33354.37</v>
      </c>
      <c r="Q147" s="30" t="n">
        <v>33.24</v>
      </c>
      <c r="R147" s="30" t="n">
        <v>30.66</v>
      </c>
    </row>
    <row r="148">
      <c r="A148" s="25" t="inlineStr">
        <is>
          <t>Jun</t>
        </is>
      </c>
      <c r="B148" s="25" t="n">
        <v>6</v>
      </c>
      <c r="C148" s="25" t="inlineStr">
        <is>
          <t>Middle East</t>
        </is>
      </c>
      <c r="D148" s="25" t="inlineStr">
        <is>
          <t>Equity Funds</t>
        </is>
      </c>
      <c r="E148" s="26" t="n">
        <v>2967212.21</v>
      </c>
      <c r="F148" s="26" t="n">
        <v>2667382.55</v>
      </c>
      <c r="G148" s="26" t="n">
        <v>2346981.78</v>
      </c>
      <c r="H148" s="26" t="n">
        <v>2414411.71</v>
      </c>
      <c r="I148" s="25" t="n">
        <v>2024</v>
      </c>
      <c r="J148" s="32" t="n">
        <v>-299829.66</v>
      </c>
      <c r="K148" s="27" t="n">
        <v>-10.1</v>
      </c>
      <c r="L148" s="33" t="n">
        <v>67429.92999999999</v>
      </c>
      <c r="M148" s="27" t="n">
        <v>2.87</v>
      </c>
      <c r="N148" s="26" t="n">
        <v>620230.4300000001</v>
      </c>
      <c r="O148" s="26" t="n">
        <v>252970.84</v>
      </c>
      <c r="P148" s="32" t="n">
        <v>-367259.59</v>
      </c>
      <c r="Q148" s="27" t="n">
        <v>20.9</v>
      </c>
      <c r="R148" s="27" t="n">
        <v>9.48</v>
      </c>
    </row>
    <row r="149">
      <c r="A149" s="28" t="inlineStr">
        <is>
          <t>Jun</t>
        </is>
      </c>
      <c r="B149" s="28" t="n">
        <v>6</v>
      </c>
      <c r="C149" s="28" t="inlineStr">
        <is>
          <t>Middle East</t>
        </is>
      </c>
      <c r="D149" s="28" t="inlineStr">
        <is>
          <t>Fixed Income</t>
        </is>
      </c>
      <c r="E149" s="29" t="n">
        <v>1682187.74</v>
      </c>
      <c r="F149" s="29" t="n">
        <v>1666502.99</v>
      </c>
      <c r="G149" s="29" t="n">
        <v>1246722.15</v>
      </c>
      <c r="H149" s="29" t="n">
        <v>1173512.64</v>
      </c>
      <c r="I149" s="28" t="n">
        <v>2024</v>
      </c>
      <c r="J149" s="32" t="n">
        <v>-15684.75</v>
      </c>
      <c r="K149" s="30" t="n">
        <v>-0.93</v>
      </c>
      <c r="L149" s="32" t="n">
        <v>-73209.50999999999</v>
      </c>
      <c r="M149" s="30" t="n">
        <v>-5.87</v>
      </c>
      <c r="N149" s="29" t="n">
        <v>435465.59</v>
      </c>
      <c r="O149" s="29" t="n">
        <v>492990.35</v>
      </c>
      <c r="P149" s="33" t="n">
        <v>57524.76</v>
      </c>
      <c r="Q149" s="30" t="n">
        <v>25.89</v>
      </c>
      <c r="R149" s="30" t="n">
        <v>29.58</v>
      </c>
    </row>
    <row r="150">
      <c r="A150" s="25" t="inlineStr">
        <is>
          <t>Jun</t>
        </is>
      </c>
      <c r="B150" s="25" t="n">
        <v>6</v>
      </c>
      <c r="C150" s="25" t="inlineStr">
        <is>
          <t>Middle East</t>
        </is>
      </c>
      <c r="D150" s="25" t="inlineStr">
        <is>
          <t>Real Estate</t>
        </is>
      </c>
      <c r="E150" s="26" t="n">
        <v>906829.8</v>
      </c>
      <c r="F150" s="26" t="n">
        <v>945484.88</v>
      </c>
      <c r="G150" s="26" t="n">
        <v>540698.33</v>
      </c>
      <c r="H150" s="26" t="n">
        <v>533136.74</v>
      </c>
      <c r="I150" s="25" t="n">
        <v>2024</v>
      </c>
      <c r="J150" s="33" t="n">
        <v>38655.08</v>
      </c>
      <c r="K150" s="27" t="n">
        <v>4.26</v>
      </c>
      <c r="L150" s="32" t="n">
        <v>-7561.59</v>
      </c>
      <c r="M150" s="27" t="n">
        <v>-1.4</v>
      </c>
      <c r="N150" s="26" t="n">
        <v>366131.47</v>
      </c>
      <c r="O150" s="26" t="n">
        <v>412348.14</v>
      </c>
      <c r="P150" s="33" t="n">
        <v>46216.67</v>
      </c>
      <c r="Q150" s="27" t="n">
        <v>40.37</v>
      </c>
      <c r="R150" s="27" t="n">
        <v>43.61</v>
      </c>
    </row>
    <row r="151">
      <c r="A151" s="28" t="inlineStr">
        <is>
          <t>Jun</t>
        </is>
      </c>
      <c r="B151" s="28" t="n">
        <v>6</v>
      </c>
      <c r="C151" s="28" t="inlineStr">
        <is>
          <t>Middle East</t>
        </is>
      </c>
      <c r="D151" s="28" t="inlineStr">
        <is>
          <t>Hedge Funds</t>
        </is>
      </c>
      <c r="E151" s="29" t="n">
        <v>2313936.26</v>
      </c>
      <c r="F151" s="29" t="n">
        <v>2271901.63</v>
      </c>
      <c r="G151" s="29" t="n">
        <v>1339501.49</v>
      </c>
      <c r="H151" s="29" t="n">
        <v>1450509.92</v>
      </c>
      <c r="I151" s="28" t="n">
        <v>2024</v>
      </c>
      <c r="J151" s="32" t="n">
        <v>-42034.63</v>
      </c>
      <c r="K151" s="30" t="n">
        <v>-1.82</v>
      </c>
      <c r="L151" s="33" t="n">
        <v>111008.43</v>
      </c>
      <c r="M151" s="30" t="n">
        <v>8.289999999999999</v>
      </c>
      <c r="N151" s="29" t="n">
        <v>974434.77</v>
      </c>
      <c r="O151" s="29" t="n">
        <v>821391.71</v>
      </c>
      <c r="P151" s="32" t="n">
        <v>-153043.06</v>
      </c>
      <c r="Q151" s="30" t="n">
        <v>42.11</v>
      </c>
      <c r="R151" s="30" t="n">
        <v>36.15</v>
      </c>
    </row>
    <row r="152">
      <c r="A152" s="25" t="inlineStr">
        <is>
          <t>Jun</t>
        </is>
      </c>
      <c r="B152" s="25" t="n">
        <v>6</v>
      </c>
      <c r="C152" s="25" t="inlineStr">
        <is>
          <t>Middle East</t>
        </is>
      </c>
      <c r="D152" s="25" t="inlineStr">
        <is>
          <t>Private Equity</t>
        </is>
      </c>
      <c r="E152" s="26" t="n">
        <v>1631214.68</v>
      </c>
      <c r="F152" s="26" t="n">
        <v>1528332.94</v>
      </c>
      <c r="G152" s="26" t="n">
        <v>938721.27</v>
      </c>
      <c r="H152" s="26" t="n">
        <v>955575.88</v>
      </c>
      <c r="I152" s="25" t="n">
        <v>2024</v>
      </c>
      <c r="J152" s="32" t="n">
        <v>-102881.74</v>
      </c>
      <c r="K152" s="27" t="n">
        <v>-6.31</v>
      </c>
      <c r="L152" s="33" t="n">
        <v>16854.61</v>
      </c>
      <c r="M152" s="27" t="n">
        <v>1.8</v>
      </c>
      <c r="N152" s="26" t="n">
        <v>692493.41</v>
      </c>
      <c r="O152" s="26" t="n">
        <v>572757.0600000001</v>
      </c>
      <c r="P152" s="32" t="n">
        <v>-119736.35</v>
      </c>
      <c r="Q152" s="27" t="n">
        <v>42.45</v>
      </c>
      <c r="R152" s="27" t="n">
        <v>37.48</v>
      </c>
    </row>
    <row r="153">
      <c r="A153" s="28" t="inlineStr">
        <is>
          <t>Jul</t>
        </is>
      </c>
      <c r="B153" s="28" t="n">
        <v>7</v>
      </c>
      <c r="C153" s="28" t="inlineStr">
        <is>
          <t>North America</t>
        </is>
      </c>
      <c r="D153" s="28" t="inlineStr">
        <is>
          <t>Equity Funds</t>
        </is>
      </c>
      <c r="E153" s="29" t="n">
        <v>5444317.12</v>
      </c>
      <c r="F153" s="29" t="n">
        <v>5651065.91</v>
      </c>
      <c r="G153" s="29" t="n">
        <v>2555603.27</v>
      </c>
      <c r="H153" s="29" t="n">
        <v>2596040.49</v>
      </c>
      <c r="I153" s="28" t="n">
        <v>2024</v>
      </c>
      <c r="J153" s="33" t="n">
        <v>206748.79</v>
      </c>
      <c r="K153" s="30" t="n">
        <v>3.8</v>
      </c>
      <c r="L153" s="33" t="n">
        <v>40437.22</v>
      </c>
      <c r="M153" s="30" t="n">
        <v>1.58</v>
      </c>
      <c r="N153" s="29" t="n">
        <v>2888713.85</v>
      </c>
      <c r="O153" s="29" t="n">
        <v>3055025.42</v>
      </c>
      <c r="P153" s="33" t="n">
        <v>166311.57</v>
      </c>
      <c r="Q153" s="30" t="n">
        <v>53.06</v>
      </c>
      <c r="R153" s="30" t="n">
        <v>54.06</v>
      </c>
    </row>
    <row r="154">
      <c r="A154" s="25" t="inlineStr">
        <is>
          <t>Jul</t>
        </is>
      </c>
      <c r="B154" s="25" t="n">
        <v>7</v>
      </c>
      <c r="C154" s="25" t="inlineStr">
        <is>
          <t>North America</t>
        </is>
      </c>
      <c r="D154" s="25" t="inlineStr">
        <is>
          <t>Fixed Income</t>
        </is>
      </c>
      <c r="E154" s="26" t="n">
        <v>3348422.16</v>
      </c>
      <c r="F154" s="26" t="n">
        <v>3433932.69</v>
      </c>
      <c r="G154" s="26" t="n">
        <v>2476733.2</v>
      </c>
      <c r="H154" s="26" t="n">
        <v>2716969.56</v>
      </c>
      <c r="I154" s="25" t="n">
        <v>2024</v>
      </c>
      <c r="J154" s="33" t="n">
        <v>85510.53</v>
      </c>
      <c r="K154" s="27" t="n">
        <v>2.55</v>
      </c>
      <c r="L154" s="33" t="n">
        <v>240236.36</v>
      </c>
      <c r="M154" s="27" t="n">
        <v>9.699999999999999</v>
      </c>
      <c r="N154" s="26" t="n">
        <v>871688.96</v>
      </c>
      <c r="O154" s="26" t="n">
        <v>716963.13</v>
      </c>
      <c r="P154" s="32" t="n">
        <v>-154725.83</v>
      </c>
      <c r="Q154" s="27" t="n">
        <v>26.03</v>
      </c>
      <c r="R154" s="27" t="n">
        <v>20.88</v>
      </c>
    </row>
    <row r="155">
      <c r="A155" s="28" t="inlineStr">
        <is>
          <t>Jul</t>
        </is>
      </c>
      <c r="B155" s="28" t="n">
        <v>7</v>
      </c>
      <c r="C155" s="28" t="inlineStr">
        <is>
          <t>North America</t>
        </is>
      </c>
      <c r="D155" s="28" t="inlineStr">
        <is>
          <t>Real Estate</t>
        </is>
      </c>
      <c r="E155" s="29" t="n">
        <v>2044884.59</v>
      </c>
      <c r="F155" s="29" t="n">
        <v>1972407.81</v>
      </c>
      <c r="G155" s="29" t="n">
        <v>1418431.86</v>
      </c>
      <c r="H155" s="29" t="n">
        <v>1459586.07</v>
      </c>
      <c r="I155" s="28" t="n">
        <v>2024</v>
      </c>
      <c r="J155" s="32" t="n">
        <v>-72476.78</v>
      </c>
      <c r="K155" s="30" t="n">
        <v>-3.54</v>
      </c>
      <c r="L155" s="33" t="n">
        <v>41154.21</v>
      </c>
      <c r="M155" s="30" t="n">
        <v>2.9</v>
      </c>
      <c r="N155" s="29" t="n">
        <v>626452.73</v>
      </c>
      <c r="O155" s="29" t="n">
        <v>512821.74</v>
      </c>
      <c r="P155" s="32" t="n">
        <v>-113630.99</v>
      </c>
      <c r="Q155" s="30" t="n">
        <v>30.64</v>
      </c>
      <c r="R155" s="30" t="n">
        <v>26</v>
      </c>
    </row>
    <row r="156">
      <c r="A156" s="25" t="inlineStr">
        <is>
          <t>Jul</t>
        </is>
      </c>
      <c r="B156" s="25" t="n">
        <v>7</v>
      </c>
      <c r="C156" s="25" t="inlineStr">
        <is>
          <t>North America</t>
        </is>
      </c>
      <c r="D156" s="25" t="inlineStr">
        <is>
          <t>Hedge Funds</t>
        </is>
      </c>
      <c r="E156" s="26" t="n">
        <v>3762705.35</v>
      </c>
      <c r="F156" s="26" t="n">
        <v>4068240.44</v>
      </c>
      <c r="G156" s="26" t="n">
        <v>2491978.19</v>
      </c>
      <c r="H156" s="26" t="n">
        <v>2733243.77</v>
      </c>
      <c r="I156" s="25" t="n">
        <v>2024</v>
      </c>
      <c r="J156" s="33" t="n">
        <v>305535.09</v>
      </c>
      <c r="K156" s="27" t="n">
        <v>8.119999999999999</v>
      </c>
      <c r="L156" s="33" t="n">
        <v>241265.58</v>
      </c>
      <c r="M156" s="27" t="n">
        <v>9.68</v>
      </c>
      <c r="N156" s="26" t="n">
        <v>1270727.16</v>
      </c>
      <c r="O156" s="26" t="n">
        <v>1334996.67</v>
      </c>
      <c r="P156" s="33" t="n">
        <v>64269.51</v>
      </c>
      <c r="Q156" s="27" t="n">
        <v>33.77</v>
      </c>
      <c r="R156" s="27" t="n">
        <v>32.82</v>
      </c>
    </row>
    <row r="157">
      <c r="A157" s="28" t="inlineStr">
        <is>
          <t>Jul</t>
        </is>
      </c>
      <c r="B157" s="28" t="n">
        <v>7</v>
      </c>
      <c r="C157" s="28" t="inlineStr">
        <is>
          <t>North America</t>
        </is>
      </c>
      <c r="D157" s="28" t="inlineStr">
        <is>
          <t>Private Equity</t>
        </is>
      </c>
      <c r="E157" s="29" t="n">
        <v>3473033.63</v>
      </c>
      <c r="F157" s="29" t="n">
        <v>3539360.63</v>
      </c>
      <c r="G157" s="29" t="n">
        <v>1995956.09</v>
      </c>
      <c r="H157" s="29" t="n">
        <v>1799617.9</v>
      </c>
      <c r="I157" s="28" t="n">
        <v>2024</v>
      </c>
      <c r="J157" s="33" t="n">
        <v>66327</v>
      </c>
      <c r="K157" s="30" t="n">
        <v>1.91</v>
      </c>
      <c r="L157" s="32" t="n">
        <v>-196338.19</v>
      </c>
      <c r="M157" s="30" t="n">
        <v>-9.84</v>
      </c>
      <c r="N157" s="29" t="n">
        <v>1477077.54</v>
      </c>
      <c r="O157" s="29" t="n">
        <v>1739742.73</v>
      </c>
      <c r="P157" s="33" t="n">
        <v>262665.19</v>
      </c>
      <c r="Q157" s="30" t="n">
        <v>42.53</v>
      </c>
      <c r="R157" s="30" t="n">
        <v>49.15</v>
      </c>
    </row>
    <row r="158">
      <c r="A158" s="25" t="inlineStr">
        <is>
          <t>Jul</t>
        </is>
      </c>
      <c r="B158" s="25" t="n">
        <v>7</v>
      </c>
      <c r="C158" s="25" t="inlineStr">
        <is>
          <t>Europe</t>
        </is>
      </c>
      <c r="D158" s="25" t="inlineStr">
        <is>
          <t>Equity Funds</t>
        </is>
      </c>
      <c r="E158" s="26" t="n">
        <v>1907159.82</v>
      </c>
      <c r="F158" s="26" t="n">
        <v>1738792.61</v>
      </c>
      <c r="G158" s="26" t="n">
        <v>1385934.72</v>
      </c>
      <c r="H158" s="26" t="n">
        <v>1542763.63</v>
      </c>
      <c r="I158" s="25" t="n">
        <v>2024</v>
      </c>
      <c r="J158" s="32" t="n">
        <v>-168367.21</v>
      </c>
      <c r="K158" s="27" t="n">
        <v>-8.83</v>
      </c>
      <c r="L158" s="33" t="n">
        <v>156828.91</v>
      </c>
      <c r="M158" s="27" t="n">
        <v>11.32</v>
      </c>
      <c r="N158" s="26" t="n">
        <v>521225.1</v>
      </c>
      <c r="O158" s="26" t="n">
        <v>196028.98</v>
      </c>
      <c r="P158" s="32" t="n">
        <v>-325196.12</v>
      </c>
      <c r="Q158" s="27" t="n">
        <v>27.33</v>
      </c>
      <c r="R158" s="27" t="n">
        <v>11.27</v>
      </c>
    </row>
    <row r="159">
      <c r="A159" s="28" t="inlineStr">
        <is>
          <t>Jul</t>
        </is>
      </c>
      <c r="B159" s="28" t="n">
        <v>7</v>
      </c>
      <c r="C159" s="28" t="inlineStr">
        <is>
          <t>Europe</t>
        </is>
      </c>
      <c r="D159" s="28" t="inlineStr">
        <is>
          <t>Fixed Income</t>
        </is>
      </c>
      <c r="E159" s="29" t="n">
        <v>3229818.62</v>
      </c>
      <c r="F159" s="29" t="n">
        <v>3041432.41</v>
      </c>
      <c r="G159" s="29" t="n">
        <v>2336000.57</v>
      </c>
      <c r="H159" s="29" t="n">
        <v>2325823.73</v>
      </c>
      <c r="I159" s="28" t="n">
        <v>2024</v>
      </c>
      <c r="J159" s="32" t="n">
        <v>-188386.21</v>
      </c>
      <c r="K159" s="30" t="n">
        <v>-5.83</v>
      </c>
      <c r="L159" s="32" t="n">
        <v>-10176.84</v>
      </c>
      <c r="M159" s="30" t="n">
        <v>-0.44</v>
      </c>
      <c r="N159" s="29" t="n">
        <v>893818.05</v>
      </c>
      <c r="O159" s="29" t="n">
        <v>715608.6800000001</v>
      </c>
      <c r="P159" s="32" t="n">
        <v>-178209.37</v>
      </c>
      <c r="Q159" s="30" t="n">
        <v>27.67</v>
      </c>
      <c r="R159" s="30" t="n">
        <v>23.53</v>
      </c>
    </row>
    <row r="160">
      <c r="A160" s="25" t="inlineStr">
        <is>
          <t>Jul</t>
        </is>
      </c>
      <c r="B160" s="25" t="n">
        <v>7</v>
      </c>
      <c r="C160" s="25" t="inlineStr">
        <is>
          <t>Europe</t>
        </is>
      </c>
      <c r="D160" s="25" t="inlineStr">
        <is>
          <t>Real Estate</t>
        </is>
      </c>
      <c r="E160" s="26" t="n">
        <v>4052183.71</v>
      </c>
      <c r="F160" s="26" t="n">
        <v>3677926.98</v>
      </c>
      <c r="G160" s="26" t="n">
        <v>3083336.54</v>
      </c>
      <c r="H160" s="26" t="n">
        <v>2817496.45</v>
      </c>
      <c r="I160" s="25" t="n">
        <v>2024</v>
      </c>
      <c r="J160" s="32" t="n">
        <v>-374256.73</v>
      </c>
      <c r="K160" s="27" t="n">
        <v>-9.24</v>
      </c>
      <c r="L160" s="32" t="n">
        <v>-265840.09</v>
      </c>
      <c r="M160" s="27" t="n">
        <v>-8.619999999999999</v>
      </c>
      <c r="N160" s="26" t="n">
        <v>968847.17</v>
      </c>
      <c r="O160" s="26" t="n">
        <v>860430.53</v>
      </c>
      <c r="P160" s="32" t="n">
        <v>-108416.64</v>
      </c>
      <c r="Q160" s="27" t="n">
        <v>23.91</v>
      </c>
      <c r="R160" s="27" t="n">
        <v>23.39</v>
      </c>
    </row>
    <row r="161">
      <c r="A161" s="28" t="inlineStr">
        <is>
          <t>Jul</t>
        </is>
      </c>
      <c r="B161" s="28" t="n">
        <v>7</v>
      </c>
      <c r="C161" s="28" t="inlineStr">
        <is>
          <t>Europe</t>
        </is>
      </c>
      <c r="D161" s="28" t="inlineStr">
        <is>
          <t>Hedge Funds</t>
        </is>
      </c>
      <c r="E161" s="29" t="n">
        <v>5077208.17</v>
      </c>
      <c r="F161" s="29" t="n">
        <v>5662032.17</v>
      </c>
      <c r="G161" s="29" t="n">
        <v>3762126.71</v>
      </c>
      <c r="H161" s="29" t="n">
        <v>4037142.06</v>
      </c>
      <c r="I161" s="28" t="n">
        <v>2024</v>
      </c>
      <c r="J161" s="33" t="n">
        <v>584824</v>
      </c>
      <c r="K161" s="30" t="n">
        <v>11.52</v>
      </c>
      <c r="L161" s="33" t="n">
        <v>275015.35</v>
      </c>
      <c r="M161" s="30" t="n">
        <v>7.31</v>
      </c>
      <c r="N161" s="29" t="n">
        <v>1315081.46</v>
      </c>
      <c r="O161" s="29" t="n">
        <v>1624890.11</v>
      </c>
      <c r="P161" s="33" t="n">
        <v>309808.65</v>
      </c>
      <c r="Q161" s="30" t="n">
        <v>25.9</v>
      </c>
      <c r="R161" s="30" t="n">
        <v>28.7</v>
      </c>
    </row>
    <row r="162">
      <c r="A162" s="25" t="inlineStr">
        <is>
          <t>Jul</t>
        </is>
      </c>
      <c r="B162" s="25" t="n">
        <v>7</v>
      </c>
      <c r="C162" s="25" t="inlineStr">
        <is>
          <t>Europe</t>
        </is>
      </c>
      <c r="D162" s="25" t="inlineStr">
        <is>
          <t>Private Equity</t>
        </is>
      </c>
      <c r="E162" s="26" t="n">
        <v>2109133.19</v>
      </c>
      <c r="F162" s="26" t="n">
        <v>2127645.8</v>
      </c>
      <c r="G162" s="26" t="n">
        <v>1590967.23</v>
      </c>
      <c r="H162" s="26" t="n">
        <v>1656958.66</v>
      </c>
      <c r="I162" s="25" t="n">
        <v>2024</v>
      </c>
      <c r="J162" s="33" t="n">
        <v>18512.61</v>
      </c>
      <c r="K162" s="27" t="n">
        <v>0.88</v>
      </c>
      <c r="L162" s="33" t="n">
        <v>65991.42999999999</v>
      </c>
      <c r="M162" s="27" t="n">
        <v>4.15</v>
      </c>
      <c r="N162" s="26" t="n">
        <v>518165.96</v>
      </c>
      <c r="O162" s="26" t="n">
        <v>470687.14</v>
      </c>
      <c r="P162" s="32" t="n">
        <v>-47478.82</v>
      </c>
      <c r="Q162" s="27" t="n">
        <v>24.57</v>
      </c>
      <c r="R162" s="27" t="n">
        <v>22.12</v>
      </c>
    </row>
    <row r="163">
      <c r="A163" s="28" t="inlineStr">
        <is>
          <t>Jul</t>
        </is>
      </c>
      <c r="B163" s="28" t="n">
        <v>7</v>
      </c>
      <c r="C163" s="28" t="inlineStr">
        <is>
          <t>Asia Pacific</t>
        </is>
      </c>
      <c r="D163" s="28" t="inlineStr">
        <is>
          <t>Equity Funds</t>
        </is>
      </c>
      <c r="E163" s="29" t="n">
        <v>3857508.53</v>
      </c>
      <c r="F163" s="29" t="n">
        <v>4265131.66</v>
      </c>
      <c r="G163" s="29" t="n">
        <v>2088712.84</v>
      </c>
      <c r="H163" s="29" t="n">
        <v>1955280.13</v>
      </c>
      <c r="I163" s="28" t="n">
        <v>2024</v>
      </c>
      <c r="J163" s="33" t="n">
        <v>407623.13</v>
      </c>
      <c r="K163" s="30" t="n">
        <v>10.57</v>
      </c>
      <c r="L163" s="32" t="n">
        <v>-133432.71</v>
      </c>
      <c r="M163" s="30" t="n">
        <v>-6.39</v>
      </c>
      <c r="N163" s="29" t="n">
        <v>1768795.69</v>
      </c>
      <c r="O163" s="29" t="n">
        <v>2309851.53</v>
      </c>
      <c r="P163" s="33" t="n">
        <v>541055.84</v>
      </c>
      <c r="Q163" s="30" t="n">
        <v>45.85</v>
      </c>
      <c r="R163" s="30" t="n">
        <v>54.16</v>
      </c>
    </row>
    <row r="164">
      <c r="A164" s="25" t="inlineStr">
        <is>
          <t>Jul</t>
        </is>
      </c>
      <c r="B164" s="25" t="n">
        <v>7</v>
      </c>
      <c r="C164" s="25" t="inlineStr">
        <is>
          <t>Asia Pacific</t>
        </is>
      </c>
      <c r="D164" s="25" t="inlineStr">
        <is>
          <t>Fixed Income</t>
        </is>
      </c>
      <c r="E164" s="26" t="n">
        <v>916219.54</v>
      </c>
      <c r="F164" s="26" t="n">
        <v>1007531.28</v>
      </c>
      <c r="G164" s="26" t="n">
        <v>611316.78</v>
      </c>
      <c r="H164" s="26" t="n">
        <v>547233.72</v>
      </c>
      <c r="I164" s="25" t="n">
        <v>2024</v>
      </c>
      <c r="J164" s="33" t="n">
        <v>91311.74000000001</v>
      </c>
      <c r="K164" s="27" t="n">
        <v>9.970000000000001</v>
      </c>
      <c r="L164" s="32" t="n">
        <v>-64083.06</v>
      </c>
      <c r="M164" s="27" t="n">
        <v>-10.48</v>
      </c>
      <c r="N164" s="26" t="n">
        <v>304902.76</v>
      </c>
      <c r="O164" s="26" t="n">
        <v>460297.56</v>
      </c>
      <c r="P164" s="33" t="n">
        <v>155394.8</v>
      </c>
      <c r="Q164" s="27" t="n">
        <v>33.28</v>
      </c>
      <c r="R164" s="27" t="n">
        <v>45.69</v>
      </c>
    </row>
    <row r="165">
      <c r="A165" s="28" t="inlineStr">
        <is>
          <t>Jul</t>
        </is>
      </c>
      <c r="B165" s="28" t="n">
        <v>7</v>
      </c>
      <c r="C165" s="28" t="inlineStr">
        <is>
          <t>Asia Pacific</t>
        </is>
      </c>
      <c r="D165" s="28" t="inlineStr">
        <is>
          <t>Real Estate</t>
        </is>
      </c>
      <c r="E165" s="29" t="n">
        <v>4091650.89</v>
      </c>
      <c r="F165" s="29" t="n">
        <v>4001597.77</v>
      </c>
      <c r="G165" s="29" t="n">
        <v>2857486.97</v>
      </c>
      <c r="H165" s="29" t="n">
        <v>3163531.73</v>
      </c>
      <c r="I165" s="28" t="n">
        <v>2024</v>
      </c>
      <c r="J165" s="32" t="n">
        <v>-90053.12</v>
      </c>
      <c r="K165" s="30" t="n">
        <v>-2.2</v>
      </c>
      <c r="L165" s="33" t="n">
        <v>306044.76</v>
      </c>
      <c r="M165" s="30" t="n">
        <v>10.71</v>
      </c>
      <c r="N165" s="29" t="n">
        <v>1234163.92</v>
      </c>
      <c r="O165" s="29" t="n">
        <v>838066.04</v>
      </c>
      <c r="P165" s="32" t="n">
        <v>-396097.88</v>
      </c>
      <c r="Q165" s="30" t="n">
        <v>30.16</v>
      </c>
      <c r="R165" s="30" t="n">
        <v>20.94</v>
      </c>
    </row>
    <row r="166">
      <c r="A166" s="25" t="inlineStr">
        <is>
          <t>Jul</t>
        </is>
      </c>
      <c r="B166" s="25" t="n">
        <v>7</v>
      </c>
      <c r="C166" s="25" t="inlineStr">
        <is>
          <t>Asia Pacific</t>
        </is>
      </c>
      <c r="D166" s="25" t="inlineStr">
        <is>
          <t>Hedge Funds</t>
        </is>
      </c>
      <c r="E166" s="26" t="n">
        <v>1910897.56</v>
      </c>
      <c r="F166" s="26" t="n">
        <v>2088500.65</v>
      </c>
      <c r="G166" s="26" t="n">
        <v>1151869.99</v>
      </c>
      <c r="H166" s="26" t="n">
        <v>1139054.86</v>
      </c>
      <c r="I166" s="25" t="n">
        <v>2024</v>
      </c>
      <c r="J166" s="33" t="n">
        <v>177603.09</v>
      </c>
      <c r="K166" s="27" t="n">
        <v>9.289999999999999</v>
      </c>
      <c r="L166" s="32" t="n">
        <v>-12815.13</v>
      </c>
      <c r="M166" s="27" t="n">
        <v>-1.11</v>
      </c>
      <c r="N166" s="26" t="n">
        <v>759027.5699999999</v>
      </c>
      <c r="O166" s="26" t="n">
        <v>949445.79</v>
      </c>
      <c r="P166" s="33" t="n">
        <v>190418.22</v>
      </c>
      <c r="Q166" s="27" t="n">
        <v>39.72</v>
      </c>
      <c r="R166" s="27" t="n">
        <v>45.46</v>
      </c>
    </row>
    <row r="167">
      <c r="A167" s="28" t="inlineStr">
        <is>
          <t>Jul</t>
        </is>
      </c>
      <c r="B167" s="28" t="n">
        <v>7</v>
      </c>
      <c r="C167" s="28" t="inlineStr">
        <is>
          <t>Asia Pacific</t>
        </is>
      </c>
      <c r="D167" s="28" t="inlineStr">
        <is>
          <t>Private Equity</t>
        </is>
      </c>
      <c r="E167" s="29" t="n">
        <v>3938574.33</v>
      </c>
      <c r="F167" s="29" t="n">
        <v>3862128.26</v>
      </c>
      <c r="G167" s="29" t="n">
        <v>2551293.59</v>
      </c>
      <c r="H167" s="29" t="n">
        <v>2339754.35</v>
      </c>
      <c r="I167" s="28" t="n">
        <v>2024</v>
      </c>
      <c r="J167" s="32" t="n">
        <v>-76446.07000000001</v>
      </c>
      <c r="K167" s="30" t="n">
        <v>-1.94</v>
      </c>
      <c r="L167" s="32" t="n">
        <v>-211539.24</v>
      </c>
      <c r="M167" s="30" t="n">
        <v>-8.289999999999999</v>
      </c>
      <c r="N167" s="29" t="n">
        <v>1387280.74</v>
      </c>
      <c r="O167" s="29" t="n">
        <v>1522373.91</v>
      </c>
      <c r="P167" s="33" t="n">
        <v>135093.17</v>
      </c>
      <c r="Q167" s="30" t="n">
        <v>35.22</v>
      </c>
      <c r="R167" s="30" t="n">
        <v>39.42</v>
      </c>
    </row>
    <row r="168">
      <c r="A168" s="25" t="inlineStr">
        <is>
          <t>Jul</t>
        </is>
      </c>
      <c r="B168" s="25" t="n">
        <v>7</v>
      </c>
      <c r="C168" s="25" t="inlineStr">
        <is>
          <t>Latin America</t>
        </is>
      </c>
      <c r="D168" s="25" t="inlineStr">
        <is>
          <t>Equity Funds</t>
        </is>
      </c>
      <c r="E168" s="26" t="n">
        <v>2537097.95</v>
      </c>
      <c r="F168" s="26" t="n">
        <v>2481149.39</v>
      </c>
      <c r="G168" s="26" t="n">
        <v>1329801.59</v>
      </c>
      <c r="H168" s="26" t="n">
        <v>1180666.88</v>
      </c>
      <c r="I168" s="25" t="n">
        <v>2024</v>
      </c>
      <c r="J168" s="32" t="n">
        <v>-55948.56</v>
      </c>
      <c r="K168" s="27" t="n">
        <v>-2.21</v>
      </c>
      <c r="L168" s="32" t="n">
        <v>-149134.71</v>
      </c>
      <c r="M168" s="27" t="n">
        <v>-11.21</v>
      </c>
      <c r="N168" s="26" t="n">
        <v>1207296.36</v>
      </c>
      <c r="O168" s="26" t="n">
        <v>1300482.51</v>
      </c>
      <c r="P168" s="33" t="n">
        <v>93186.14999999999</v>
      </c>
      <c r="Q168" s="27" t="n">
        <v>47.59</v>
      </c>
      <c r="R168" s="27" t="n">
        <v>52.41</v>
      </c>
    </row>
    <row r="169">
      <c r="A169" s="28" t="inlineStr">
        <is>
          <t>Jul</t>
        </is>
      </c>
      <c r="B169" s="28" t="n">
        <v>7</v>
      </c>
      <c r="C169" s="28" t="inlineStr">
        <is>
          <t>Latin America</t>
        </is>
      </c>
      <c r="D169" s="28" t="inlineStr">
        <is>
          <t>Fixed Income</t>
        </is>
      </c>
      <c r="E169" s="29" t="n">
        <v>2568547.77</v>
      </c>
      <c r="F169" s="29" t="n">
        <v>2787665.56</v>
      </c>
      <c r="G169" s="29" t="n">
        <v>1263640.33</v>
      </c>
      <c r="H169" s="29" t="n">
        <v>1319952.27</v>
      </c>
      <c r="I169" s="28" t="n">
        <v>2024</v>
      </c>
      <c r="J169" s="33" t="n">
        <v>219117.79</v>
      </c>
      <c r="K169" s="30" t="n">
        <v>8.529999999999999</v>
      </c>
      <c r="L169" s="33" t="n">
        <v>56311.94</v>
      </c>
      <c r="M169" s="30" t="n">
        <v>4.46</v>
      </c>
      <c r="N169" s="29" t="n">
        <v>1304907.44</v>
      </c>
      <c r="O169" s="29" t="n">
        <v>1467713.29</v>
      </c>
      <c r="P169" s="33" t="n">
        <v>162805.85</v>
      </c>
      <c r="Q169" s="30" t="n">
        <v>50.8</v>
      </c>
      <c r="R169" s="30" t="n">
        <v>52.65</v>
      </c>
    </row>
    <row r="170">
      <c r="A170" s="25" t="inlineStr">
        <is>
          <t>Jul</t>
        </is>
      </c>
      <c r="B170" s="25" t="n">
        <v>7</v>
      </c>
      <c r="C170" s="25" t="inlineStr">
        <is>
          <t>Latin America</t>
        </is>
      </c>
      <c r="D170" s="25" t="inlineStr">
        <is>
          <t>Real Estate</t>
        </is>
      </c>
      <c r="E170" s="26" t="n">
        <v>2999508.73</v>
      </c>
      <c r="F170" s="26" t="n">
        <v>2926181.28</v>
      </c>
      <c r="G170" s="26" t="n">
        <v>2152199.15</v>
      </c>
      <c r="H170" s="26" t="n">
        <v>1957034.14</v>
      </c>
      <c r="I170" s="25" t="n">
        <v>2024</v>
      </c>
      <c r="J170" s="32" t="n">
        <v>-73327.45</v>
      </c>
      <c r="K170" s="27" t="n">
        <v>-2.44</v>
      </c>
      <c r="L170" s="32" t="n">
        <v>-195165.01</v>
      </c>
      <c r="M170" s="27" t="n">
        <v>-9.07</v>
      </c>
      <c r="N170" s="26" t="n">
        <v>847309.58</v>
      </c>
      <c r="O170" s="26" t="n">
        <v>969147.14</v>
      </c>
      <c r="P170" s="33" t="n">
        <v>121837.56</v>
      </c>
      <c r="Q170" s="27" t="n">
        <v>28.25</v>
      </c>
      <c r="R170" s="27" t="n">
        <v>33.12</v>
      </c>
    </row>
    <row r="171">
      <c r="A171" s="28" t="inlineStr">
        <is>
          <t>Jul</t>
        </is>
      </c>
      <c r="B171" s="28" t="n">
        <v>7</v>
      </c>
      <c r="C171" s="28" t="inlineStr">
        <is>
          <t>Latin America</t>
        </is>
      </c>
      <c r="D171" s="28" t="inlineStr">
        <is>
          <t>Hedge Funds</t>
        </is>
      </c>
      <c r="E171" s="29" t="n">
        <v>4503730.35</v>
      </c>
      <c r="F171" s="29" t="n">
        <v>4656898.04</v>
      </c>
      <c r="G171" s="29" t="n">
        <v>2607486.12</v>
      </c>
      <c r="H171" s="29" t="n">
        <v>2307953.21</v>
      </c>
      <c r="I171" s="28" t="n">
        <v>2024</v>
      </c>
      <c r="J171" s="33" t="n">
        <v>153167.69</v>
      </c>
      <c r="K171" s="30" t="n">
        <v>3.4</v>
      </c>
      <c r="L171" s="32" t="n">
        <v>-299532.91</v>
      </c>
      <c r="M171" s="30" t="n">
        <v>-11.49</v>
      </c>
      <c r="N171" s="29" t="n">
        <v>1896244.23</v>
      </c>
      <c r="O171" s="29" t="n">
        <v>2348944.83</v>
      </c>
      <c r="P171" s="33" t="n">
        <v>452700.6</v>
      </c>
      <c r="Q171" s="30" t="n">
        <v>42.1</v>
      </c>
      <c r="R171" s="30" t="n">
        <v>50.44</v>
      </c>
    </row>
    <row r="172">
      <c r="A172" s="25" t="inlineStr">
        <is>
          <t>Jul</t>
        </is>
      </c>
      <c r="B172" s="25" t="n">
        <v>7</v>
      </c>
      <c r="C172" s="25" t="inlineStr">
        <is>
          <t>Latin America</t>
        </is>
      </c>
      <c r="D172" s="25" t="inlineStr">
        <is>
          <t>Private Equity</t>
        </is>
      </c>
      <c r="E172" s="26" t="n">
        <v>3797455.41</v>
      </c>
      <c r="F172" s="26" t="n">
        <v>3856311.09</v>
      </c>
      <c r="G172" s="26" t="n">
        <v>1961727.45</v>
      </c>
      <c r="H172" s="26" t="n">
        <v>2086567.41</v>
      </c>
      <c r="I172" s="25" t="n">
        <v>2024</v>
      </c>
      <c r="J172" s="33" t="n">
        <v>58855.68</v>
      </c>
      <c r="K172" s="27" t="n">
        <v>1.55</v>
      </c>
      <c r="L172" s="33" t="n">
        <v>124839.96</v>
      </c>
      <c r="M172" s="27" t="n">
        <v>6.36</v>
      </c>
      <c r="N172" s="26" t="n">
        <v>1835727.96</v>
      </c>
      <c r="O172" s="26" t="n">
        <v>1769743.68</v>
      </c>
      <c r="P172" s="32" t="n">
        <v>-65984.28</v>
      </c>
      <c r="Q172" s="27" t="n">
        <v>48.34</v>
      </c>
      <c r="R172" s="27" t="n">
        <v>45.89</v>
      </c>
    </row>
    <row r="173">
      <c r="A173" s="28" t="inlineStr">
        <is>
          <t>Jul</t>
        </is>
      </c>
      <c r="B173" s="28" t="n">
        <v>7</v>
      </c>
      <c r="C173" s="28" t="inlineStr">
        <is>
          <t>Middle East</t>
        </is>
      </c>
      <c r="D173" s="28" t="inlineStr">
        <is>
          <t>Equity Funds</t>
        </is>
      </c>
      <c r="E173" s="29" t="n">
        <v>1793543.73</v>
      </c>
      <c r="F173" s="29" t="n">
        <v>1719747.1</v>
      </c>
      <c r="G173" s="29" t="n">
        <v>799121.85</v>
      </c>
      <c r="H173" s="29" t="n">
        <v>875939.39</v>
      </c>
      <c r="I173" s="28" t="n">
        <v>2024</v>
      </c>
      <c r="J173" s="32" t="n">
        <v>-73796.63</v>
      </c>
      <c r="K173" s="30" t="n">
        <v>-4.11</v>
      </c>
      <c r="L173" s="33" t="n">
        <v>76817.53999999999</v>
      </c>
      <c r="M173" s="30" t="n">
        <v>9.609999999999999</v>
      </c>
      <c r="N173" s="29" t="n">
        <v>994421.88</v>
      </c>
      <c r="O173" s="29" t="n">
        <v>843807.71</v>
      </c>
      <c r="P173" s="32" t="n">
        <v>-150614.17</v>
      </c>
      <c r="Q173" s="30" t="n">
        <v>55.44</v>
      </c>
      <c r="R173" s="30" t="n">
        <v>49.07</v>
      </c>
    </row>
    <row r="174">
      <c r="A174" s="25" t="inlineStr">
        <is>
          <t>Jul</t>
        </is>
      </c>
      <c r="B174" s="25" t="n">
        <v>7</v>
      </c>
      <c r="C174" s="25" t="inlineStr">
        <is>
          <t>Middle East</t>
        </is>
      </c>
      <c r="D174" s="25" t="inlineStr">
        <is>
          <t>Fixed Income</t>
        </is>
      </c>
      <c r="E174" s="26" t="n">
        <v>754213.09</v>
      </c>
      <c r="F174" s="26" t="n">
        <v>687237.54</v>
      </c>
      <c r="G174" s="26" t="n">
        <v>545796.55</v>
      </c>
      <c r="H174" s="26" t="n">
        <v>503158.55</v>
      </c>
      <c r="I174" s="25" t="n">
        <v>2024</v>
      </c>
      <c r="J174" s="32" t="n">
        <v>-66975.55</v>
      </c>
      <c r="K174" s="27" t="n">
        <v>-8.880000000000001</v>
      </c>
      <c r="L174" s="32" t="n">
        <v>-42638</v>
      </c>
      <c r="M174" s="27" t="n">
        <v>-7.81</v>
      </c>
      <c r="N174" s="26" t="n">
        <v>208416.54</v>
      </c>
      <c r="O174" s="26" t="n">
        <v>184078.99</v>
      </c>
      <c r="P174" s="32" t="n">
        <v>-24337.55</v>
      </c>
      <c r="Q174" s="27" t="n">
        <v>27.63</v>
      </c>
      <c r="R174" s="27" t="n">
        <v>26.79</v>
      </c>
    </row>
    <row r="175">
      <c r="A175" s="28" t="inlineStr">
        <is>
          <t>Jul</t>
        </is>
      </c>
      <c r="B175" s="28" t="n">
        <v>7</v>
      </c>
      <c r="C175" s="28" t="inlineStr">
        <is>
          <t>Middle East</t>
        </is>
      </c>
      <c r="D175" s="28" t="inlineStr">
        <is>
          <t>Real Estate</t>
        </is>
      </c>
      <c r="E175" s="29" t="n">
        <v>3229427.31</v>
      </c>
      <c r="F175" s="29" t="n">
        <v>3454183.56</v>
      </c>
      <c r="G175" s="29" t="n">
        <v>1551255.01</v>
      </c>
      <c r="H175" s="29" t="n">
        <v>1485644.91</v>
      </c>
      <c r="I175" s="28" t="n">
        <v>2024</v>
      </c>
      <c r="J175" s="33" t="n">
        <v>224756.25</v>
      </c>
      <c r="K175" s="30" t="n">
        <v>6.96</v>
      </c>
      <c r="L175" s="32" t="n">
        <v>-65610.10000000001</v>
      </c>
      <c r="M175" s="30" t="n">
        <v>-4.23</v>
      </c>
      <c r="N175" s="29" t="n">
        <v>1678172.3</v>
      </c>
      <c r="O175" s="29" t="n">
        <v>1968538.65</v>
      </c>
      <c r="P175" s="33" t="n">
        <v>290366.35</v>
      </c>
      <c r="Q175" s="30" t="n">
        <v>51.97</v>
      </c>
      <c r="R175" s="30" t="n">
        <v>56.99</v>
      </c>
    </row>
    <row r="176">
      <c r="A176" s="25" t="inlineStr">
        <is>
          <t>Jul</t>
        </is>
      </c>
      <c r="B176" s="25" t="n">
        <v>7</v>
      </c>
      <c r="C176" s="25" t="inlineStr">
        <is>
          <t>Middle East</t>
        </is>
      </c>
      <c r="D176" s="25" t="inlineStr">
        <is>
          <t>Hedge Funds</t>
        </is>
      </c>
      <c r="E176" s="26" t="n">
        <v>1605888.44</v>
      </c>
      <c r="F176" s="26" t="n">
        <v>1615942.15</v>
      </c>
      <c r="G176" s="26" t="n">
        <v>748457.08</v>
      </c>
      <c r="H176" s="26" t="n">
        <v>744190.15</v>
      </c>
      <c r="I176" s="25" t="n">
        <v>2024</v>
      </c>
      <c r="J176" s="33" t="n">
        <v>10053.71</v>
      </c>
      <c r="K176" s="27" t="n">
        <v>0.63</v>
      </c>
      <c r="L176" s="32" t="n">
        <v>-4266.93</v>
      </c>
      <c r="M176" s="27" t="n">
        <v>-0.57</v>
      </c>
      <c r="N176" s="26" t="n">
        <v>857431.36</v>
      </c>
      <c r="O176" s="26" t="n">
        <v>871752</v>
      </c>
      <c r="P176" s="33" t="n">
        <v>14320.64</v>
      </c>
      <c r="Q176" s="27" t="n">
        <v>53.39</v>
      </c>
      <c r="R176" s="27" t="n">
        <v>53.95</v>
      </c>
    </row>
    <row r="177">
      <c r="A177" s="28" t="inlineStr">
        <is>
          <t>Jul</t>
        </is>
      </c>
      <c r="B177" s="28" t="n">
        <v>7</v>
      </c>
      <c r="C177" s="28" t="inlineStr">
        <is>
          <t>Middle East</t>
        </is>
      </c>
      <c r="D177" s="28" t="inlineStr">
        <is>
          <t>Private Equity</t>
        </is>
      </c>
      <c r="E177" s="29" t="n">
        <v>3749623.59</v>
      </c>
      <c r="F177" s="29" t="n">
        <v>3753078.06</v>
      </c>
      <c r="G177" s="29" t="n">
        <v>2675612.86</v>
      </c>
      <c r="H177" s="29" t="n">
        <v>2382386.05</v>
      </c>
      <c r="I177" s="28" t="n">
        <v>2024</v>
      </c>
      <c r="J177" s="33" t="n">
        <v>3454.47</v>
      </c>
      <c r="K177" s="30" t="n">
        <v>0.09</v>
      </c>
      <c r="L177" s="32" t="n">
        <v>-293226.81</v>
      </c>
      <c r="M177" s="30" t="n">
        <v>-10.96</v>
      </c>
      <c r="N177" s="29" t="n">
        <v>1074010.73</v>
      </c>
      <c r="O177" s="29" t="n">
        <v>1370692.01</v>
      </c>
      <c r="P177" s="33" t="n">
        <v>296681.28</v>
      </c>
      <c r="Q177" s="30" t="n">
        <v>28.64</v>
      </c>
      <c r="R177" s="30" t="n">
        <v>36.52</v>
      </c>
    </row>
    <row r="178">
      <c r="A178" s="25" t="inlineStr">
        <is>
          <t>Aug</t>
        </is>
      </c>
      <c r="B178" s="25" t="n">
        <v>8</v>
      </c>
      <c r="C178" s="25" t="inlineStr">
        <is>
          <t>North America</t>
        </is>
      </c>
      <c r="D178" s="25" t="inlineStr">
        <is>
          <t>Equity Funds</t>
        </is>
      </c>
      <c r="E178" s="26" t="n">
        <v>4107098.56</v>
      </c>
      <c r="F178" s="26" t="n">
        <v>4065740.92</v>
      </c>
      <c r="G178" s="26" t="n">
        <v>3173471.91</v>
      </c>
      <c r="H178" s="26" t="n">
        <v>2838981.93</v>
      </c>
      <c r="I178" s="25" t="n">
        <v>2024</v>
      </c>
      <c r="J178" s="32" t="n">
        <v>-41357.64</v>
      </c>
      <c r="K178" s="27" t="n">
        <v>-1.01</v>
      </c>
      <c r="L178" s="32" t="n">
        <v>-334489.98</v>
      </c>
      <c r="M178" s="27" t="n">
        <v>-10.54</v>
      </c>
      <c r="N178" s="26" t="n">
        <v>933626.65</v>
      </c>
      <c r="O178" s="26" t="n">
        <v>1226758.99</v>
      </c>
      <c r="P178" s="33" t="n">
        <v>293132.34</v>
      </c>
      <c r="Q178" s="27" t="n">
        <v>22.73</v>
      </c>
      <c r="R178" s="27" t="n">
        <v>30.17</v>
      </c>
    </row>
    <row r="179">
      <c r="A179" s="28" t="inlineStr">
        <is>
          <t>Aug</t>
        </is>
      </c>
      <c r="B179" s="28" t="n">
        <v>8</v>
      </c>
      <c r="C179" s="28" t="inlineStr">
        <is>
          <t>North America</t>
        </is>
      </c>
      <c r="D179" s="28" t="inlineStr">
        <is>
          <t>Fixed Income</t>
        </is>
      </c>
      <c r="E179" s="29" t="n">
        <v>2916374.99</v>
      </c>
      <c r="F179" s="29" t="n">
        <v>2909563.87</v>
      </c>
      <c r="G179" s="29" t="n">
        <v>1735482.74</v>
      </c>
      <c r="H179" s="29" t="n">
        <v>1557834.86</v>
      </c>
      <c r="I179" s="28" t="n">
        <v>2024</v>
      </c>
      <c r="J179" s="32" t="n">
        <v>-6811.12</v>
      </c>
      <c r="K179" s="30" t="n">
        <v>-0.23</v>
      </c>
      <c r="L179" s="32" t="n">
        <v>-177647.88</v>
      </c>
      <c r="M179" s="30" t="n">
        <v>-10.24</v>
      </c>
      <c r="N179" s="29" t="n">
        <v>1180892.25</v>
      </c>
      <c r="O179" s="29" t="n">
        <v>1351729.01</v>
      </c>
      <c r="P179" s="33" t="n">
        <v>170836.76</v>
      </c>
      <c r="Q179" s="30" t="n">
        <v>40.49</v>
      </c>
      <c r="R179" s="30" t="n">
        <v>46.46</v>
      </c>
    </row>
    <row r="180">
      <c r="A180" s="25" t="inlineStr">
        <is>
          <t>Aug</t>
        </is>
      </c>
      <c r="B180" s="25" t="n">
        <v>8</v>
      </c>
      <c r="C180" s="25" t="inlineStr">
        <is>
          <t>North America</t>
        </is>
      </c>
      <c r="D180" s="25" t="inlineStr">
        <is>
          <t>Real Estate</t>
        </is>
      </c>
      <c r="E180" s="26" t="n">
        <v>1040354.62</v>
      </c>
      <c r="F180" s="26" t="n">
        <v>984179.47</v>
      </c>
      <c r="G180" s="26" t="n">
        <v>739786.85</v>
      </c>
      <c r="H180" s="26" t="n">
        <v>748372.48</v>
      </c>
      <c r="I180" s="25" t="n">
        <v>2024</v>
      </c>
      <c r="J180" s="32" t="n">
        <v>-56175.15</v>
      </c>
      <c r="K180" s="27" t="n">
        <v>-5.4</v>
      </c>
      <c r="L180" s="33" t="n">
        <v>8585.629999999999</v>
      </c>
      <c r="M180" s="27" t="n">
        <v>1.16</v>
      </c>
      <c r="N180" s="26" t="n">
        <v>300567.77</v>
      </c>
      <c r="O180" s="26" t="n">
        <v>235806.99</v>
      </c>
      <c r="P180" s="32" t="n">
        <v>-64760.78</v>
      </c>
      <c r="Q180" s="27" t="n">
        <v>28.89</v>
      </c>
      <c r="R180" s="27" t="n">
        <v>23.96</v>
      </c>
    </row>
    <row r="181">
      <c r="A181" s="28" t="inlineStr">
        <is>
          <t>Aug</t>
        </is>
      </c>
      <c r="B181" s="28" t="n">
        <v>8</v>
      </c>
      <c r="C181" s="28" t="inlineStr">
        <is>
          <t>North America</t>
        </is>
      </c>
      <c r="D181" s="28" t="inlineStr">
        <is>
          <t>Hedge Funds</t>
        </is>
      </c>
      <c r="E181" s="29" t="n">
        <v>2179014.73</v>
      </c>
      <c r="F181" s="29" t="n">
        <v>2154809.58</v>
      </c>
      <c r="G181" s="29" t="n">
        <v>1655019.69</v>
      </c>
      <c r="H181" s="29" t="n">
        <v>1495811.48</v>
      </c>
      <c r="I181" s="28" t="n">
        <v>2024</v>
      </c>
      <c r="J181" s="32" t="n">
        <v>-24205.15</v>
      </c>
      <c r="K181" s="30" t="n">
        <v>-1.11</v>
      </c>
      <c r="L181" s="32" t="n">
        <v>-159208.21</v>
      </c>
      <c r="M181" s="30" t="n">
        <v>-9.619999999999999</v>
      </c>
      <c r="N181" s="29" t="n">
        <v>523995.04</v>
      </c>
      <c r="O181" s="29" t="n">
        <v>658998.1</v>
      </c>
      <c r="P181" s="33" t="n">
        <v>135003.06</v>
      </c>
      <c r="Q181" s="30" t="n">
        <v>24.05</v>
      </c>
      <c r="R181" s="30" t="n">
        <v>30.58</v>
      </c>
    </row>
    <row r="182">
      <c r="A182" s="25" t="inlineStr">
        <is>
          <t>Aug</t>
        </is>
      </c>
      <c r="B182" s="25" t="n">
        <v>8</v>
      </c>
      <c r="C182" s="25" t="inlineStr">
        <is>
          <t>North America</t>
        </is>
      </c>
      <c r="D182" s="25" t="inlineStr">
        <is>
          <t>Private Equity</t>
        </is>
      </c>
      <c r="E182" s="26" t="n">
        <v>3860584.8</v>
      </c>
      <c r="F182" s="26" t="n">
        <v>4109789.62</v>
      </c>
      <c r="G182" s="26" t="n">
        <v>2761937.68</v>
      </c>
      <c r="H182" s="26" t="n">
        <v>2573036.43</v>
      </c>
      <c r="I182" s="25" t="n">
        <v>2024</v>
      </c>
      <c r="J182" s="33" t="n">
        <v>249204.82</v>
      </c>
      <c r="K182" s="27" t="n">
        <v>6.46</v>
      </c>
      <c r="L182" s="32" t="n">
        <v>-188901.25</v>
      </c>
      <c r="M182" s="27" t="n">
        <v>-6.84</v>
      </c>
      <c r="N182" s="26" t="n">
        <v>1098647.12</v>
      </c>
      <c r="O182" s="26" t="n">
        <v>1536753.19</v>
      </c>
      <c r="P182" s="33" t="n">
        <v>438106.07</v>
      </c>
      <c r="Q182" s="27" t="n">
        <v>28.46</v>
      </c>
      <c r="R182" s="27" t="n">
        <v>37.39</v>
      </c>
    </row>
    <row r="183">
      <c r="A183" s="28" t="inlineStr">
        <is>
          <t>Aug</t>
        </is>
      </c>
      <c r="B183" s="28" t="n">
        <v>8</v>
      </c>
      <c r="C183" s="28" t="inlineStr">
        <is>
          <t>Europe</t>
        </is>
      </c>
      <c r="D183" s="28" t="inlineStr">
        <is>
          <t>Equity Funds</t>
        </is>
      </c>
      <c r="E183" s="29" t="n">
        <v>2609665.48</v>
      </c>
      <c r="F183" s="29" t="n">
        <v>2580540.93</v>
      </c>
      <c r="G183" s="29" t="n">
        <v>1374786.76</v>
      </c>
      <c r="H183" s="29" t="n">
        <v>1241185.81</v>
      </c>
      <c r="I183" s="28" t="n">
        <v>2024</v>
      </c>
      <c r="J183" s="32" t="n">
        <v>-29124.55</v>
      </c>
      <c r="K183" s="30" t="n">
        <v>-1.12</v>
      </c>
      <c r="L183" s="32" t="n">
        <v>-133600.95</v>
      </c>
      <c r="M183" s="30" t="n">
        <v>-9.720000000000001</v>
      </c>
      <c r="N183" s="29" t="n">
        <v>1234878.72</v>
      </c>
      <c r="O183" s="29" t="n">
        <v>1339355.12</v>
      </c>
      <c r="P183" s="33" t="n">
        <v>104476.4</v>
      </c>
      <c r="Q183" s="30" t="n">
        <v>47.32</v>
      </c>
      <c r="R183" s="30" t="n">
        <v>51.9</v>
      </c>
    </row>
    <row r="184">
      <c r="A184" s="25" t="inlineStr">
        <is>
          <t>Aug</t>
        </is>
      </c>
      <c r="B184" s="25" t="n">
        <v>8</v>
      </c>
      <c r="C184" s="25" t="inlineStr">
        <is>
          <t>Europe</t>
        </is>
      </c>
      <c r="D184" s="25" t="inlineStr">
        <is>
          <t>Fixed Income</t>
        </is>
      </c>
      <c r="E184" s="26" t="n">
        <v>2527236.2</v>
      </c>
      <c r="F184" s="26" t="n">
        <v>2316548.96</v>
      </c>
      <c r="G184" s="26" t="n">
        <v>1826302.38</v>
      </c>
      <c r="H184" s="26" t="n">
        <v>1636571.47</v>
      </c>
      <c r="I184" s="25" t="n">
        <v>2024</v>
      </c>
      <c r="J184" s="32" t="n">
        <v>-210687.24</v>
      </c>
      <c r="K184" s="27" t="n">
        <v>-8.34</v>
      </c>
      <c r="L184" s="32" t="n">
        <v>-189730.91</v>
      </c>
      <c r="M184" s="27" t="n">
        <v>-10.39</v>
      </c>
      <c r="N184" s="26" t="n">
        <v>700933.8199999999</v>
      </c>
      <c r="O184" s="26" t="n">
        <v>679977.49</v>
      </c>
      <c r="P184" s="32" t="n">
        <v>-20956.33</v>
      </c>
      <c r="Q184" s="27" t="n">
        <v>27.74</v>
      </c>
      <c r="R184" s="27" t="n">
        <v>29.35</v>
      </c>
    </row>
    <row r="185">
      <c r="A185" s="28" t="inlineStr">
        <is>
          <t>Aug</t>
        </is>
      </c>
      <c r="B185" s="28" t="n">
        <v>8</v>
      </c>
      <c r="C185" s="28" t="inlineStr">
        <is>
          <t>Europe</t>
        </is>
      </c>
      <c r="D185" s="28" t="inlineStr">
        <is>
          <t>Real Estate</t>
        </is>
      </c>
      <c r="E185" s="29" t="n">
        <v>3947016.5</v>
      </c>
      <c r="F185" s="29" t="n">
        <v>4173224.12</v>
      </c>
      <c r="G185" s="29" t="n">
        <v>2180090.64</v>
      </c>
      <c r="H185" s="29" t="n">
        <v>2209585.04</v>
      </c>
      <c r="I185" s="28" t="n">
        <v>2024</v>
      </c>
      <c r="J185" s="33" t="n">
        <v>226207.62</v>
      </c>
      <c r="K185" s="30" t="n">
        <v>5.73</v>
      </c>
      <c r="L185" s="33" t="n">
        <v>29494.4</v>
      </c>
      <c r="M185" s="30" t="n">
        <v>1.35</v>
      </c>
      <c r="N185" s="29" t="n">
        <v>1766925.86</v>
      </c>
      <c r="O185" s="29" t="n">
        <v>1963639.08</v>
      </c>
      <c r="P185" s="33" t="n">
        <v>196713.22</v>
      </c>
      <c r="Q185" s="30" t="n">
        <v>44.77</v>
      </c>
      <c r="R185" s="30" t="n">
        <v>47.05</v>
      </c>
    </row>
    <row r="186">
      <c r="A186" s="25" t="inlineStr">
        <is>
          <t>Aug</t>
        </is>
      </c>
      <c r="B186" s="25" t="n">
        <v>8</v>
      </c>
      <c r="C186" s="25" t="inlineStr">
        <is>
          <t>Europe</t>
        </is>
      </c>
      <c r="D186" s="25" t="inlineStr">
        <is>
          <t>Hedge Funds</t>
        </is>
      </c>
      <c r="E186" s="26" t="n">
        <v>3151975.09</v>
      </c>
      <c r="F186" s="26" t="n">
        <v>2866202.87</v>
      </c>
      <c r="G186" s="26" t="n">
        <v>1959088.64</v>
      </c>
      <c r="H186" s="26" t="n">
        <v>2036828.66</v>
      </c>
      <c r="I186" s="25" t="n">
        <v>2024</v>
      </c>
      <c r="J186" s="32" t="n">
        <v>-285772.22</v>
      </c>
      <c r="K186" s="27" t="n">
        <v>-9.07</v>
      </c>
      <c r="L186" s="33" t="n">
        <v>77740.02</v>
      </c>
      <c r="M186" s="27" t="n">
        <v>3.97</v>
      </c>
      <c r="N186" s="26" t="n">
        <v>1192886.45</v>
      </c>
      <c r="O186" s="26" t="n">
        <v>829374.21</v>
      </c>
      <c r="P186" s="32" t="n">
        <v>-363512.24</v>
      </c>
      <c r="Q186" s="27" t="n">
        <v>37.85</v>
      </c>
      <c r="R186" s="27" t="n">
        <v>28.94</v>
      </c>
    </row>
    <row r="187">
      <c r="A187" s="28" t="inlineStr">
        <is>
          <t>Aug</t>
        </is>
      </c>
      <c r="B187" s="28" t="n">
        <v>8</v>
      </c>
      <c r="C187" s="28" t="inlineStr">
        <is>
          <t>Europe</t>
        </is>
      </c>
      <c r="D187" s="28" t="inlineStr">
        <is>
          <t>Private Equity</t>
        </is>
      </c>
      <c r="E187" s="29" t="n">
        <v>4125884.57</v>
      </c>
      <c r="F187" s="29" t="n">
        <v>4589698.65</v>
      </c>
      <c r="G187" s="29" t="n">
        <v>2863408.32</v>
      </c>
      <c r="H187" s="29" t="n">
        <v>2761456.91</v>
      </c>
      <c r="I187" s="28" t="n">
        <v>2024</v>
      </c>
      <c r="J187" s="33" t="n">
        <v>463814.08</v>
      </c>
      <c r="K187" s="30" t="n">
        <v>11.24</v>
      </c>
      <c r="L187" s="32" t="n">
        <v>-101951.41</v>
      </c>
      <c r="M187" s="30" t="n">
        <v>-3.56</v>
      </c>
      <c r="N187" s="29" t="n">
        <v>1262476.25</v>
      </c>
      <c r="O187" s="29" t="n">
        <v>1828241.74</v>
      </c>
      <c r="P187" s="33" t="n">
        <v>565765.49</v>
      </c>
      <c r="Q187" s="30" t="n">
        <v>30.6</v>
      </c>
      <c r="R187" s="30" t="n">
        <v>39.83</v>
      </c>
    </row>
    <row r="188">
      <c r="A188" s="25" t="inlineStr">
        <is>
          <t>Aug</t>
        </is>
      </c>
      <c r="B188" s="25" t="n">
        <v>8</v>
      </c>
      <c r="C188" s="25" t="inlineStr">
        <is>
          <t>Asia Pacific</t>
        </is>
      </c>
      <c r="D188" s="25" t="inlineStr">
        <is>
          <t>Equity Funds</t>
        </is>
      </c>
      <c r="E188" s="26" t="n">
        <v>3328423.47</v>
      </c>
      <c r="F188" s="26" t="n">
        <v>3108144.31</v>
      </c>
      <c r="G188" s="26" t="n">
        <v>1528301.7</v>
      </c>
      <c r="H188" s="26" t="n">
        <v>1654982.05</v>
      </c>
      <c r="I188" s="25" t="n">
        <v>2024</v>
      </c>
      <c r="J188" s="32" t="n">
        <v>-220279.16</v>
      </c>
      <c r="K188" s="27" t="n">
        <v>-6.62</v>
      </c>
      <c r="L188" s="33" t="n">
        <v>126680.35</v>
      </c>
      <c r="M188" s="27" t="n">
        <v>8.289999999999999</v>
      </c>
      <c r="N188" s="26" t="n">
        <v>1800121.77</v>
      </c>
      <c r="O188" s="26" t="n">
        <v>1453162.26</v>
      </c>
      <c r="P188" s="32" t="n">
        <v>-346959.51</v>
      </c>
      <c r="Q188" s="27" t="n">
        <v>54.08</v>
      </c>
      <c r="R188" s="27" t="n">
        <v>46.75</v>
      </c>
    </row>
    <row r="189">
      <c r="A189" s="28" t="inlineStr">
        <is>
          <t>Aug</t>
        </is>
      </c>
      <c r="B189" s="28" t="n">
        <v>8</v>
      </c>
      <c r="C189" s="28" t="inlineStr">
        <is>
          <t>Asia Pacific</t>
        </is>
      </c>
      <c r="D189" s="28" t="inlineStr">
        <is>
          <t>Fixed Income</t>
        </is>
      </c>
      <c r="E189" s="29" t="n">
        <v>2378490.88</v>
      </c>
      <c r="F189" s="29" t="n">
        <v>2553864.46</v>
      </c>
      <c r="G189" s="29" t="n">
        <v>1700720.33</v>
      </c>
      <c r="H189" s="29" t="n">
        <v>1894417.38</v>
      </c>
      <c r="I189" s="28" t="n">
        <v>2024</v>
      </c>
      <c r="J189" s="33" t="n">
        <v>175373.58</v>
      </c>
      <c r="K189" s="30" t="n">
        <v>7.37</v>
      </c>
      <c r="L189" s="33" t="n">
        <v>193697.05</v>
      </c>
      <c r="M189" s="30" t="n">
        <v>11.39</v>
      </c>
      <c r="N189" s="29" t="n">
        <v>677770.55</v>
      </c>
      <c r="O189" s="29" t="n">
        <v>659447.08</v>
      </c>
      <c r="P189" s="32" t="n">
        <v>-18323.47</v>
      </c>
      <c r="Q189" s="30" t="n">
        <v>28.5</v>
      </c>
      <c r="R189" s="30" t="n">
        <v>25.82</v>
      </c>
    </row>
    <row r="190">
      <c r="A190" s="25" t="inlineStr">
        <is>
          <t>Aug</t>
        </is>
      </c>
      <c r="B190" s="25" t="n">
        <v>8</v>
      </c>
      <c r="C190" s="25" t="inlineStr">
        <is>
          <t>Asia Pacific</t>
        </is>
      </c>
      <c r="D190" s="25" t="inlineStr">
        <is>
          <t>Real Estate</t>
        </is>
      </c>
      <c r="E190" s="26" t="n">
        <v>4358327.29</v>
      </c>
      <c r="F190" s="26" t="n">
        <v>3862789.48</v>
      </c>
      <c r="G190" s="26" t="n">
        <v>2917385.84</v>
      </c>
      <c r="H190" s="26" t="n">
        <v>3148065.26</v>
      </c>
      <c r="I190" s="25" t="n">
        <v>2024</v>
      </c>
      <c r="J190" s="32" t="n">
        <v>-495537.81</v>
      </c>
      <c r="K190" s="27" t="n">
        <v>-11.37</v>
      </c>
      <c r="L190" s="33" t="n">
        <v>230679.42</v>
      </c>
      <c r="M190" s="27" t="n">
        <v>7.91</v>
      </c>
      <c r="N190" s="26" t="n">
        <v>1440941.45</v>
      </c>
      <c r="O190" s="26" t="n">
        <v>714724.22</v>
      </c>
      <c r="P190" s="32" t="n">
        <v>-726217.23</v>
      </c>
      <c r="Q190" s="27" t="n">
        <v>33.06</v>
      </c>
      <c r="R190" s="27" t="n">
        <v>18.5</v>
      </c>
    </row>
    <row r="191">
      <c r="A191" s="28" t="inlineStr">
        <is>
          <t>Aug</t>
        </is>
      </c>
      <c r="B191" s="28" t="n">
        <v>8</v>
      </c>
      <c r="C191" s="28" t="inlineStr">
        <is>
          <t>Asia Pacific</t>
        </is>
      </c>
      <c r="D191" s="28" t="inlineStr">
        <is>
          <t>Hedge Funds</t>
        </is>
      </c>
      <c r="E191" s="29" t="n">
        <v>2001249.76</v>
      </c>
      <c r="F191" s="29" t="n">
        <v>1909505.12</v>
      </c>
      <c r="G191" s="29" t="n">
        <v>938513.0600000001</v>
      </c>
      <c r="H191" s="29" t="n">
        <v>827266.78</v>
      </c>
      <c r="I191" s="28" t="n">
        <v>2024</v>
      </c>
      <c r="J191" s="32" t="n">
        <v>-91744.64</v>
      </c>
      <c r="K191" s="30" t="n">
        <v>-4.58</v>
      </c>
      <c r="L191" s="32" t="n">
        <v>-111246.28</v>
      </c>
      <c r="M191" s="30" t="n">
        <v>-11.85</v>
      </c>
      <c r="N191" s="29" t="n">
        <v>1062736.7</v>
      </c>
      <c r="O191" s="29" t="n">
        <v>1082238.34</v>
      </c>
      <c r="P191" s="33" t="n">
        <v>19501.64</v>
      </c>
      <c r="Q191" s="30" t="n">
        <v>53.1</v>
      </c>
      <c r="R191" s="30" t="n">
        <v>56.68</v>
      </c>
    </row>
    <row r="192">
      <c r="A192" s="25" t="inlineStr">
        <is>
          <t>Aug</t>
        </is>
      </c>
      <c r="B192" s="25" t="n">
        <v>8</v>
      </c>
      <c r="C192" s="25" t="inlineStr">
        <is>
          <t>Asia Pacific</t>
        </is>
      </c>
      <c r="D192" s="25" t="inlineStr">
        <is>
          <t>Private Equity</t>
        </is>
      </c>
      <c r="E192" s="26" t="n">
        <v>4365053.5</v>
      </c>
      <c r="F192" s="26" t="n">
        <v>3989876.79</v>
      </c>
      <c r="G192" s="26" t="n">
        <v>2834189.35</v>
      </c>
      <c r="H192" s="26" t="n">
        <v>2514939.75</v>
      </c>
      <c r="I192" s="25" t="n">
        <v>2024</v>
      </c>
      <c r="J192" s="32" t="n">
        <v>-375176.71</v>
      </c>
      <c r="K192" s="27" t="n">
        <v>-8.6</v>
      </c>
      <c r="L192" s="32" t="n">
        <v>-319249.6</v>
      </c>
      <c r="M192" s="27" t="n">
        <v>-11.26</v>
      </c>
      <c r="N192" s="26" t="n">
        <v>1530864.15</v>
      </c>
      <c r="O192" s="26" t="n">
        <v>1474937.04</v>
      </c>
      <c r="P192" s="32" t="n">
        <v>-55927.11</v>
      </c>
      <c r="Q192" s="27" t="n">
        <v>35.07</v>
      </c>
      <c r="R192" s="27" t="n">
        <v>36.97</v>
      </c>
    </row>
    <row r="193">
      <c r="A193" s="28" t="inlineStr">
        <is>
          <t>Aug</t>
        </is>
      </c>
      <c r="B193" s="28" t="n">
        <v>8</v>
      </c>
      <c r="C193" s="28" t="inlineStr">
        <is>
          <t>Latin America</t>
        </is>
      </c>
      <c r="D193" s="28" t="inlineStr">
        <is>
          <t>Equity Funds</t>
        </is>
      </c>
      <c r="E193" s="29" t="n">
        <v>3870598.91</v>
      </c>
      <c r="F193" s="29" t="n">
        <v>3722800.23</v>
      </c>
      <c r="G193" s="29" t="n">
        <v>1971426.44</v>
      </c>
      <c r="H193" s="29" t="n">
        <v>2076272.88</v>
      </c>
      <c r="I193" s="28" t="n">
        <v>2024</v>
      </c>
      <c r="J193" s="32" t="n">
        <v>-147798.68</v>
      </c>
      <c r="K193" s="30" t="n">
        <v>-3.82</v>
      </c>
      <c r="L193" s="33" t="n">
        <v>104846.44</v>
      </c>
      <c r="M193" s="30" t="n">
        <v>5.32</v>
      </c>
      <c r="N193" s="29" t="n">
        <v>1899172.47</v>
      </c>
      <c r="O193" s="29" t="n">
        <v>1646527.35</v>
      </c>
      <c r="P193" s="32" t="n">
        <v>-252645.12</v>
      </c>
      <c r="Q193" s="30" t="n">
        <v>49.07</v>
      </c>
      <c r="R193" s="30" t="n">
        <v>44.23</v>
      </c>
    </row>
    <row r="194">
      <c r="A194" s="25" t="inlineStr">
        <is>
          <t>Aug</t>
        </is>
      </c>
      <c r="B194" s="25" t="n">
        <v>8</v>
      </c>
      <c r="C194" s="25" t="inlineStr">
        <is>
          <t>Latin America</t>
        </is>
      </c>
      <c r="D194" s="25" t="inlineStr">
        <is>
          <t>Fixed Income</t>
        </is>
      </c>
      <c r="E194" s="26" t="n">
        <v>3725469.8</v>
      </c>
      <c r="F194" s="26" t="n">
        <v>3325451.65</v>
      </c>
      <c r="G194" s="26" t="n">
        <v>2347343.59</v>
      </c>
      <c r="H194" s="26" t="n">
        <v>2413729.2</v>
      </c>
      <c r="I194" s="25" t="n">
        <v>2024</v>
      </c>
      <c r="J194" s="32" t="n">
        <v>-400018.15</v>
      </c>
      <c r="K194" s="27" t="n">
        <v>-10.74</v>
      </c>
      <c r="L194" s="33" t="n">
        <v>66385.61</v>
      </c>
      <c r="M194" s="27" t="n">
        <v>2.83</v>
      </c>
      <c r="N194" s="26" t="n">
        <v>1378126.21</v>
      </c>
      <c r="O194" s="26" t="n">
        <v>911722.45</v>
      </c>
      <c r="P194" s="32" t="n">
        <v>-466403.76</v>
      </c>
      <c r="Q194" s="27" t="n">
        <v>36.99</v>
      </c>
      <c r="R194" s="27" t="n">
        <v>27.42</v>
      </c>
    </row>
    <row r="195">
      <c r="A195" s="28" t="inlineStr">
        <is>
          <t>Aug</t>
        </is>
      </c>
      <c r="B195" s="28" t="n">
        <v>8</v>
      </c>
      <c r="C195" s="28" t="inlineStr">
        <is>
          <t>Latin America</t>
        </is>
      </c>
      <c r="D195" s="28" t="inlineStr">
        <is>
          <t>Real Estate</t>
        </is>
      </c>
      <c r="E195" s="29" t="n">
        <v>3748257.73</v>
      </c>
      <c r="F195" s="29" t="n">
        <v>3735359.26</v>
      </c>
      <c r="G195" s="29" t="n">
        <v>1907802.46</v>
      </c>
      <c r="H195" s="29" t="n">
        <v>1803941.78</v>
      </c>
      <c r="I195" s="28" t="n">
        <v>2024</v>
      </c>
      <c r="J195" s="32" t="n">
        <v>-12898.47</v>
      </c>
      <c r="K195" s="30" t="n">
        <v>-0.34</v>
      </c>
      <c r="L195" s="32" t="n">
        <v>-103860.68</v>
      </c>
      <c r="M195" s="30" t="n">
        <v>-5.44</v>
      </c>
      <c r="N195" s="29" t="n">
        <v>1840455.27</v>
      </c>
      <c r="O195" s="29" t="n">
        <v>1931417.48</v>
      </c>
      <c r="P195" s="33" t="n">
        <v>90962.21000000001</v>
      </c>
      <c r="Q195" s="30" t="n">
        <v>49.1</v>
      </c>
      <c r="R195" s="30" t="n">
        <v>51.71</v>
      </c>
    </row>
    <row r="196">
      <c r="A196" s="25" t="inlineStr">
        <is>
          <t>Aug</t>
        </is>
      </c>
      <c r="B196" s="25" t="n">
        <v>8</v>
      </c>
      <c r="C196" s="25" t="inlineStr">
        <is>
          <t>Latin America</t>
        </is>
      </c>
      <c r="D196" s="25" t="inlineStr">
        <is>
          <t>Hedge Funds</t>
        </is>
      </c>
      <c r="E196" s="26" t="n">
        <v>3915101.96</v>
      </c>
      <c r="F196" s="26" t="n">
        <v>3711435.04</v>
      </c>
      <c r="G196" s="26" t="n">
        <v>1991050.48</v>
      </c>
      <c r="H196" s="26" t="n">
        <v>1984662.91</v>
      </c>
      <c r="I196" s="25" t="n">
        <v>2024</v>
      </c>
      <c r="J196" s="32" t="n">
        <v>-203666.92</v>
      </c>
      <c r="K196" s="27" t="n">
        <v>-5.2</v>
      </c>
      <c r="L196" s="32" t="n">
        <v>-6387.57</v>
      </c>
      <c r="M196" s="27" t="n">
        <v>-0.32</v>
      </c>
      <c r="N196" s="26" t="n">
        <v>1924051.48</v>
      </c>
      <c r="O196" s="26" t="n">
        <v>1726772.13</v>
      </c>
      <c r="P196" s="32" t="n">
        <v>-197279.35</v>
      </c>
      <c r="Q196" s="27" t="n">
        <v>49.14</v>
      </c>
      <c r="R196" s="27" t="n">
        <v>46.53</v>
      </c>
    </row>
    <row r="197">
      <c r="A197" s="28" t="inlineStr">
        <is>
          <t>Aug</t>
        </is>
      </c>
      <c r="B197" s="28" t="n">
        <v>8</v>
      </c>
      <c r="C197" s="28" t="inlineStr">
        <is>
          <t>Latin America</t>
        </is>
      </c>
      <c r="D197" s="28" t="inlineStr">
        <is>
          <t>Private Equity</t>
        </is>
      </c>
      <c r="E197" s="29" t="n">
        <v>3526505.4</v>
      </c>
      <c r="F197" s="29" t="n">
        <v>3610570.2</v>
      </c>
      <c r="G197" s="29" t="n">
        <v>1505529.58</v>
      </c>
      <c r="H197" s="29" t="n">
        <v>1433777.01</v>
      </c>
      <c r="I197" s="28" t="n">
        <v>2024</v>
      </c>
      <c r="J197" s="33" t="n">
        <v>84064.8</v>
      </c>
      <c r="K197" s="30" t="n">
        <v>2.38</v>
      </c>
      <c r="L197" s="32" t="n">
        <v>-71752.57000000001</v>
      </c>
      <c r="M197" s="30" t="n">
        <v>-4.77</v>
      </c>
      <c r="N197" s="29" t="n">
        <v>2020975.82</v>
      </c>
      <c r="O197" s="29" t="n">
        <v>2176793.19</v>
      </c>
      <c r="P197" s="33" t="n">
        <v>155817.37</v>
      </c>
      <c r="Q197" s="30" t="n">
        <v>57.31</v>
      </c>
      <c r="R197" s="30" t="n">
        <v>60.29</v>
      </c>
    </row>
    <row r="198">
      <c r="A198" s="25" t="inlineStr">
        <is>
          <t>Aug</t>
        </is>
      </c>
      <c r="B198" s="25" t="n">
        <v>8</v>
      </c>
      <c r="C198" s="25" t="inlineStr">
        <is>
          <t>Middle East</t>
        </is>
      </c>
      <c r="D198" s="25" t="inlineStr">
        <is>
          <t>Equity Funds</t>
        </is>
      </c>
      <c r="E198" s="26" t="n">
        <v>1604686.06</v>
      </c>
      <c r="F198" s="26" t="n">
        <v>1538491.74</v>
      </c>
      <c r="G198" s="26" t="n">
        <v>747106</v>
      </c>
      <c r="H198" s="26" t="n">
        <v>791396.98</v>
      </c>
      <c r="I198" s="25" t="n">
        <v>2024</v>
      </c>
      <c r="J198" s="32" t="n">
        <v>-66194.32000000001</v>
      </c>
      <c r="K198" s="27" t="n">
        <v>-4.13</v>
      </c>
      <c r="L198" s="33" t="n">
        <v>44290.98</v>
      </c>
      <c r="M198" s="27" t="n">
        <v>5.93</v>
      </c>
      <c r="N198" s="26" t="n">
        <v>857580.0600000001</v>
      </c>
      <c r="O198" s="26" t="n">
        <v>747094.76</v>
      </c>
      <c r="P198" s="32" t="n">
        <v>-110485.3</v>
      </c>
      <c r="Q198" s="27" t="n">
        <v>53.44</v>
      </c>
      <c r="R198" s="27" t="n">
        <v>48.56</v>
      </c>
    </row>
    <row r="199">
      <c r="A199" s="28" t="inlineStr">
        <is>
          <t>Aug</t>
        </is>
      </c>
      <c r="B199" s="28" t="n">
        <v>8</v>
      </c>
      <c r="C199" s="28" t="inlineStr">
        <is>
          <t>Middle East</t>
        </is>
      </c>
      <c r="D199" s="28" t="inlineStr">
        <is>
          <t>Fixed Income</t>
        </is>
      </c>
      <c r="E199" s="29" t="n">
        <v>1600564.12</v>
      </c>
      <c r="F199" s="29" t="n">
        <v>1600664.9</v>
      </c>
      <c r="G199" s="29" t="n">
        <v>925317.28</v>
      </c>
      <c r="H199" s="29" t="n">
        <v>993317.04</v>
      </c>
      <c r="I199" s="28" t="n">
        <v>2024</v>
      </c>
      <c r="J199" s="33" t="n">
        <v>100.78</v>
      </c>
      <c r="K199" s="30" t="n">
        <v>0.01</v>
      </c>
      <c r="L199" s="33" t="n">
        <v>67999.75999999999</v>
      </c>
      <c r="M199" s="30" t="n">
        <v>7.35</v>
      </c>
      <c r="N199" s="29" t="n">
        <v>675246.84</v>
      </c>
      <c r="O199" s="29" t="n">
        <v>607347.86</v>
      </c>
      <c r="P199" s="32" t="n">
        <v>-67898.98</v>
      </c>
      <c r="Q199" s="30" t="n">
        <v>42.19</v>
      </c>
      <c r="R199" s="30" t="n">
        <v>37.94</v>
      </c>
    </row>
    <row r="200">
      <c r="A200" s="25" t="inlineStr">
        <is>
          <t>Aug</t>
        </is>
      </c>
      <c r="B200" s="25" t="n">
        <v>8</v>
      </c>
      <c r="C200" s="25" t="inlineStr">
        <is>
          <t>Middle East</t>
        </is>
      </c>
      <c r="D200" s="25" t="inlineStr">
        <is>
          <t>Real Estate</t>
        </is>
      </c>
      <c r="E200" s="26" t="n">
        <v>1001774.86</v>
      </c>
      <c r="F200" s="26" t="n">
        <v>886067.83</v>
      </c>
      <c r="G200" s="26" t="n">
        <v>847118.84</v>
      </c>
      <c r="H200" s="26" t="n">
        <v>920738.89</v>
      </c>
      <c r="I200" s="25" t="n">
        <v>2024</v>
      </c>
      <c r="J200" s="32" t="n">
        <v>-115707.03</v>
      </c>
      <c r="K200" s="27" t="n">
        <v>-11.55</v>
      </c>
      <c r="L200" s="33" t="n">
        <v>73620.05</v>
      </c>
      <c r="M200" s="27" t="n">
        <v>8.69</v>
      </c>
      <c r="N200" s="26" t="n">
        <v>154656.02</v>
      </c>
      <c r="O200" s="26" t="n">
        <v>-34671.06</v>
      </c>
      <c r="P200" s="32" t="n">
        <v>-189327.08</v>
      </c>
      <c r="Q200" s="27" t="n">
        <v>15.44</v>
      </c>
      <c r="R200" s="27" t="n">
        <v>-3.91</v>
      </c>
    </row>
    <row r="201">
      <c r="A201" s="28" t="inlineStr">
        <is>
          <t>Aug</t>
        </is>
      </c>
      <c r="B201" s="28" t="n">
        <v>8</v>
      </c>
      <c r="C201" s="28" t="inlineStr">
        <is>
          <t>Middle East</t>
        </is>
      </c>
      <c r="D201" s="28" t="inlineStr">
        <is>
          <t>Hedge Funds</t>
        </is>
      </c>
      <c r="E201" s="29" t="n">
        <v>3353029.9</v>
      </c>
      <c r="F201" s="29" t="n">
        <v>3286795.99</v>
      </c>
      <c r="G201" s="29" t="n">
        <v>1847709.85</v>
      </c>
      <c r="H201" s="29" t="n">
        <v>1635233.52</v>
      </c>
      <c r="I201" s="28" t="n">
        <v>2024</v>
      </c>
      <c r="J201" s="32" t="n">
        <v>-66233.91</v>
      </c>
      <c r="K201" s="30" t="n">
        <v>-1.98</v>
      </c>
      <c r="L201" s="32" t="n">
        <v>-212476.33</v>
      </c>
      <c r="M201" s="30" t="n">
        <v>-11.5</v>
      </c>
      <c r="N201" s="29" t="n">
        <v>1505320.05</v>
      </c>
      <c r="O201" s="29" t="n">
        <v>1651562.47</v>
      </c>
      <c r="P201" s="33" t="n">
        <v>146242.42</v>
      </c>
      <c r="Q201" s="30" t="n">
        <v>44.89</v>
      </c>
      <c r="R201" s="30" t="n">
        <v>50.25</v>
      </c>
    </row>
    <row r="202">
      <c r="A202" s="25" t="inlineStr">
        <is>
          <t>Aug</t>
        </is>
      </c>
      <c r="B202" s="25" t="n">
        <v>8</v>
      </c>
      <c r="C202" s="25" t="inlineStr">
        <is>
          <t>Middle East</t>
        </is>
      </c>
      <c r="D202" s="25" t="inlineStr">
        <is>
          <t>Private Equity</t>
        </is>
      </c>
      <c r="E202" s="26" t="n">
        <v>2215151.59</v>
      </c>
      <c r="F202" s="26" t="n">
        <v>2391668.65</v>
      </c>
      <c r="G202" s="26" t="n">
        <v>1619466.81</v>
      </c>
      <c r="H202" s="26" t="n">
        <v>1459384.41</v>
      </c>
      <c r="I202" s="25" t="n">
        <v>2024</v>
      </c>
      <c r="J202" s="33" t="n">
        <v>176517.06</v>
      </c>
      <c r="K202" s="27" t="n">
        <v>7.97</v>
      </c>
      <c r="L202" s="32" t="n">
        <v>-160082.4</v>
      </c>
      <c r="M202" s="27" t="n">
        <v>-9.880000000000001</v>
      </c>
      <c r="N202" s="26" t="n">
        <v>595684.78</v>
      </c>
      <c r="O202" s="26" t="n">
        <v>932284.24</v>
      </c>
      <c r="P202" s="33" t="n">
        <v>336599.46</v>
      </c>
      <c r="Q202" s="27" t="n">
        <v>26.89</v>
      </c>
      <c r="R202" s="27" t="n">
        <v>38.98</v>
      </c>
    </row>
    <row r="203">
      <c r="A203" s="28" t="inlineStr">
        <is>
          <t>Sep</t>
        </is>
      </c>
      <c r="B203" s="28" t="n">
        <v>9</v>
      </c>
      <c r="C203" s="28" t="inlineStr">
        <is>
          <t>North America</t>
        </is>
      </c>
      <c r="D203" s="28" t="inlineStr">
        <is>
          <t>Equity Funds</t>
        </is>
      </c>
      <c r="E203" s="29" t="n">
        <v>4424096.06</v>
      </c>
      <c r="F203" s="29" t="n">
        <v>4449539.08</v>
      </c>
      <c r="G203" s="29" t="n">
        <v>2225980.14</v>
      </c>
      <c r="H203" s="29" t="n">
        <v>2124622.13</v>
      </c>
      <c r="I203" s="28" t="n">
        <v>2024</v>
      </c>
      <c r="J203" s="33" t="n">
        <v>25443.02</v>
      </c>
      <c r="K203" s="30" t="n">
        <v>0.58</v>
      </c>
      <c r="L203" s="32" t="n">
        <v>-101358.01</v>
      </c>
      <c r="M203" s="30" t="n">
        <v>-4.55</v>
      </c>
      <c r="N203" s="29" t="n">
        <v>2198115.92</v>
      </c>
      <c r="O203" s="29" t="n">
        <v>2324916.95</v>
      </c>
      <c r="P203" s="33" t="n">
        <v>126801.03</v>
      </c>
      <c r="Q203" s="30" t="n">
        <v>49.69</v>
      </c>
      <c r="R203" s="30" t="n">
        <v>52.25</v>
      </c>
    </row>
    <row r="204">
      <c r="A204" s="25" t="inlineStr">
        <is>
          <t>Sep</t>
        </is>
      </c>
      <c r="B204" s="25" t="n">
        <v>9</v>
      </c>
      <c r="C204" s="25" t="inlineStr">
        <is>
          <t>North America</t>
        </is>
      </c>
      <c r="D204" s="25" t="inlineStr">
        <is>
          <t>Fixed Income</t>
        </is>
      </c>
      <c r="E204" s="26" t="n">
        <v>2078211.4</v>
      </c>
      <c r="F204" s="26" t="n">
        <v>2083440.16</v>
      </c>
      <c r="G204" s="26" t="n">
        <v>1129605</v>
      </c>
      <c r="H204" s="26" t="n">
        <v>1132303.06</v>
      </c>
      <c r="I204" s="25" t="n">
        <v>2024</v>
      </c>
      <c r="J204" s="33" t="n">
        <v>5228.76</v>
      </c>
      <c r="K204" s="27" t="n">
        <v>0.25</v>
      </c>
      <c r="L204" s="33" t="n">
        <v>2698.06</v>
      </c>
      <c r="M204" s="27" t="n">
        <v>0.24</v>
      </c>
      <c r="N204" s="26" t="n">
        <v>948606.4</v>
      </c>
      <c r="O204" s="26" t="n">
        <v>951137.1</v>
      </c>
      <c r="P204" s="33" t="n">
        <v>2530.7</v>
      </c>
      <c r="Q204" s="27" t="n">
        <v>45.65</v>
      </c>
      <c r="R204" s="27" t="n">
        <v>45.65</v>
      </c>
    </row>
    <row r="205">
      <c r="A205" s="28" t="inlineStr">
        <is>
          <t>Sep</t>
        </is>
      </c>
      <c r="B205" s="28" t="n">
        <v>9</v>
      </c>
      <c r="C205" s="28" t="inlineStr">
        <is>
          <t>North America</t>
        </is>
      </c>
      <c r="D205" s="28" t="inlineStr">
        <is>
          <t>Real Estate</t>
        </is>
      </c>
      <c r="E205" s="29" t="n">
        <v>4814285.97</v>
      </c>
      <c r="F205" s="29" t="n">
        <v>5182808.32</v>
      </c>
      <c r="G205" s="29" t="n">
        <v>2715816.85</v>
      </c>
      <c r="H205" s="29" t="n">
        <v>2543917.93</v>
      </c>
      <c r="I205" s="28" t="n">
        <v>2024</v>
      </c>
      <c r="J205" s="33" t="n">
        <v>368522.35</v>
      </c>
      <c r="K205" s="30" t="n">
        <v>7.65</v>
      </c>
      <c r="L205" s="32" t="n">
        <v>-171898.92</v>
      </c>
      <c r="M205" s="30" t="n">
        <v>-6.33</v>
      </c>
      <c r="N205" s="29" t="n">
        <v>2098469.12</v>
      </c>
      <c r="O205" s="29" t="n">
        <v>2638890.39</v>
      </c>
      <c r="P205" s="33" t="n">
        <v>540421.27</v>
      </c>
      <c r="Q205" s="30" t="n">
        <v>43.59</v>
      </c>
      <c r="R205" s="30" t="n">
        <v>50.92</v>
      </c>
    </row>
    <row r="206">
      <c r="A206" s="25" t="inlineStr">
        <is>
          <t>Sep</t>
        </is>
      </c>
      <c r="B206" s="25" t="n">
        <v>9</v>
      </c>
      <c r="C206" s="25" t="inlineStr">
        <is>
          <t>North America</t>
        </is>
      </c>
      <c r="D206" s="25" t="inlineStr">
        <is>
          <t>Hedge Funds</t>
        </is>
      </c>
      <c r="E206" s="26" t="n">
        <v>1444045.98</v>
      </c>
      <c r="F206" s="26" t="n">
        <v>1534229.06</v>
      </c>
      <c r="G206" s="26" t="n">
        <v>742934.98</v>
      </c>
      <c r="H206" s="26" t="n">
        <v>685368.72</v>
      </c>
      <c r="I206" s="25" t="n">
        <v>2024</v>
      </c>
      <c r="J206" s="33" t="n">
        <v>90183.08</v>
      </c>
      <c r="K206" s="27" t="n">
        <v>6.25</v>
      </c>
      <c r="L206" s="32" t="n">
        <v>-57566.26</v>
      </c>
      <c r="M206" s="27" t="n">
        <v>-7.75</v>
      </c>
      <c r="N206" s="26" t="n">
        <v>701111</v>
      </c>
      <c r="O206" s="26" t="n">
        <v>848860.34</v>
      </c>
      <c r="P206" s="33" t="n">
        <v>147749.34</v>
      </c>
      <c r="Q206" s="27" t="n">
        <v>48.55</v>
      </c>
      <c r="R206" s="27" t="n">
        <v>55.33</v>
      </c>
    </row>
    <row r="207">
      <c r="A207" s="28" t="inlineStr">
        <is>
          <t>Sep</t>
        </is>
      </c>
      <c r="B207" s="28" t="n">
        <v>9</v>
      </c>
      <c r="C207" s="28" t="inlineStr">
        <is>
          <t>North America</t>
        </is>
      </c>
      <c r="D207" s="28" t="inlineStr">
        <is>
          <t>Private Equity</t>
        </is>
      </c>
      <c r="E207" s="29" t="n">
        <v>4251857.6</v>
      </c>
      <c r="F207" s="29" t="n">
        <v>4517048.15</v>
      </c>
      <c r="G207" s="29" t="n">
        <v>2395702.18</v>
      </c>
      <c r="H207" s="29" t="n">
        <v>2639577.53</v>
      </c>
      <c r="I207" s="28" t="n">
        <v>2024</v>
      </c>
      <c r="J207" s="33" t="n">
        <v>265190.55</v>
      </c>
      <c r="K207" s="30" t="n">
        <v>6.24</v>
      </c>
      <c r="L207" s="33" t="n">
        <v>243875.35</v>
      </c>
      <c r="M207" s="30" t="n">
        <v>10.18</v>
      </c>
      <c r="N207" s="29" t="n">
        <v>1856155.42</v>
      </c>
      <c r="O207" s="29" t="n">
        <v>1877470.62</v>
      </c>
      <c r="P207" s="33" t="n">
        <v>21315.2</v>
      </c>
      <c r="Q207" s="30" t="n">
        <v>43.66</v>
      </c>
      <c r="R207" s="30" t="n">
        <v>41.56</v>
      </c>
    </row>
    <row r="208">
      <c r="A208" s="25" t="inlineStr">
        <is>
          <t>Sep</t>
        </is>
      </c>
      <c r="B208" s="25" t="n">
        <v>9</v>
      </c>
      <c r="C208" s="25" t="inlineStr">
        <is>
          <t>Europe</t>
        </is>
      </c>
      <c r="D208" s="25" t="inlineStr">
        <is>
          <t>Equity Funds</t>
        </is>
      </c>
      <c r="E208" s="26" t="n">
        <v>3249833.85</v>
      </c>
      <c r="F208" s="26" t="n">
        <v>3533931.89</v>
      </c>
      <c r="G208" s="26" t="n">
        <v>2082904.51</v>
      </c>
      <c r="H208" s="26" t="n">
        <v>1908419.13</v>
      </c>
      <c r="I208" s="25" t="n">
        <v>2024</v>
      </c>
      <c r="J208" s="33" t="n">
        <v>284098.04</v>
      </c>
      <c r="K208" s="27" t="n">
        <v>8.74</v>
      </c>
      <c r="L208" s="32" t="n">
        <v>-174485.38</v>
      </c>
      <c r="M208" s="27" t="n">
        <v>-8.380000000000001</v>
      </c>
      <c r="N208" s="26" t="n">
        <v>1166929.34</v>
      </c>
      <c r="O208" s="26" t="n">
        <v>1625512.76</v>
      </c>
      <c r="P208" s="33" t="n">
        <v>458583.42</v>
      </c>
      <c r="Q208" s="27" t="n">
        <v>35.91</v>
      </c>
      <c r="R208" s="27" t="n">
        <v>46</v>
      </c>
    </row>
    <row r="209">
      <c r="A209" s="28" t="inlineStr">
        <is>
          <t>Sep</t>
        </is>
      </c>
      <c r="B209" s="28" t="n">
        <v>9</v>
      </c>
      <c r="C209" s="28" t="inlineStr">
        <is>
          <t>Europe</t>
        </is>
      </c>
      <c r="D209" s="28" t="inlineStr">
        <is>
          <t>Fixed Income</t>
        </is>
      </c>
      <c r="E209" s="29" t="n">
        <v>1043943.25</v>
      </c>
      <c r="F209" s="29" t="n">
        <v>987488.55</v>
      </c>
      <c r="G209" s="29" t="n">
        <v>577029.04</v>
      </c>
      <c r="H209" s="29" t="n">
        <v>578045.1</v>
      </c>
      <c r="I209" s="28" t="n">
        <v>2024</v>
      </c>
      <c r="J209" s="32" t="n">
        <v>-56454.7</v>
      </c>
      <c r="K209" s="30" t="n">
        <v>-5.41</v>
      </c>
      <c r="L209" s="33" t="n">
        <v>1016.06</v>
      </c>
      <c r="M209" s="30" t="n">
        <v>0.18</v>
      </c>
      <c r="N209" s="29" t="n">
        <v>466914.21</v>
      </c>
      <c r="O209" s="29" t="n">
        <v>409443.45</v>
      </c>
      <c r="P209" s="32" t="n">
        <v>-57470.76</v>
      </c>
      <c r="Q209" s="30" t="n">
        <v>44.73</v>
      </c>
      <c r="R209" s="30" t="n">
        <v>41.46</v>
      </c>
    </row>
    <row r="210">
      <c r="A210" s="25" t="inlineStr">
        <is>
          <t>Sep</t>
        </is>
      </c>
      <c r="B210" s="25" t="n">
        <v>9</v>
      </c>
      <c r="C210" s="25" t="inlineStr">
        <is>
          <t>Europe</t>
        </is>
      </c>
      <c r="D210" s="25" t="inlineStr">
        <is>
          <t>Real Estate</t>
        </is>
      </c>
      <c r="E210" s="26" t="n">
        <v>1917277.74</v>
      </c>
      <c r="F210" s="26" t="n">
        <v>2069906.84</v>
      </c>
      <c r="G210" s="26" t="n">
        <v>1127596.64</v>
      </c>
      <c r="H210" s="26" t="n">
        <v>1226171.15</v>
      </c>
      <c r="I210" s="25" t="n">
        <v>2024</v>
      </c>
      <c r="J210" s="33" t="n">
        <v>152629.1</v>
      </c>
      <c r="K210" s="27" t="n">
        <v>7.96</v>
      </c>
      <c r="L210" s="33" t="n">
        <v>98574.50999999999</v>
      </c>
      <c r="M210" s="27" t="n">
        <v>8.74</v>
      </c>
      <c r="N210" s="26" t="n">
        <v>789681.1</v>
      </c>
      <c r="O210" s="26" t="n">
        <v>843735.6899999999</v>
      </c>
      <c r="P210" s="33" t="n">
        <v>54054.59</v>
      </c>
      <c r="Q210" s="27" t="n">
        <v>41.19</v>
      </c>
      <c r="R210" s="27" t="n">
        <v>40.76</v>
      </c>
    </row>
    <row r="211">
      <c r="A211" s="28" t="inlineStr">
        <is>
          <t>Sep</t>
        </is>
      </c>
      <c r="B211" s="28" t="n">
        <v>9</v>
      </c>
      <c r="C211" s="28" t="inlineStr">
        <is>
          <t>Europe</t>
        </is>
      </c>
      <c r="D211" s="28" t="inlineStr">
        <is>
          <t>Hedge Funds</t>
        </is>
      </c>
      <c r="E211" s="29" t="n">
        <v>4398440.86</v>
      </c>
      <c r="F211" s="29" t="n">
        <v>4359078.32</v>
      </c>
      <c r="G211" s="29" t="n">
        <v>2817157.03</v>
      </c>
      <c r="H211" s="29" t="n">
        <v>3014460.2</v>
      </c>
      <c r="I211" s="28" t="n">
        <v>2024</v>
      </c>
      <c r="J211" s="32" t="n">
        <v>-39362.54</v>
      </c>
      <c r="K211" s="30" t="n">
        <v>-0.89</v>
      </c>
      <c r="L211" s="33" t="n">
        <v>197303.17</v>
      </c>
      <c r="M211" s="30" t="n">
        <v>7</v>
      </c>
      <c r="N211" s="29" t="n">
        <v>1581283.83</v>
      </c>
      <c r="O211" s="29" t="n">
        <v>1344618.12</v>
      </c>
      <c r="P211" s="32" t="n">
        <v>-236665.71</v>
      </c>
      <c r="Q211" s="30" t="n">
        <v>35.95</v>
      </c>
      <c r="R211" s="30" t="n">
        <v>30.85</v>
      </c>
    </row>
    <row r="212">
      <c r="A212" s="25" t="inlineStr">
        <is>
          <t>Sep</t>
        </is>
      </c>
      <c r="B212" s="25" t="n">
        <v>9</v>
      </c>
      <c r="C212" s="25" t="inlineStr">
        <is>
          <t>Europe</t>
        </is>
      </c>
      <c r="D212" s="25" t="inlineStr">
        <is>
          <t>Private Equity</t>
        </is>
      </c>
      <c r="E212" s="26" t="n">
        <v>4845400.74</v>
      </c>
      <c r="F212" s="26" t="n">
        <v>5021971.94</v>
      </c>
      <c r="G212" s="26" t="n">
        <v>2573542.66</v>
      </c>
      <c r="H212" s="26" t="n">
        <v>2558489.92</v>
      </c>
      <c r="I212" s="25" t="n">
        <v>2024</v>
      </c>
      <c r="J212" s="33" t="n">
        <v>176571.2</v>
      </c>
      <c r="K212" s="27" t="n">
        <v>3.64</v>
      </c>
      <c r="L212" s="32" t="n">
        <v>-15052.74</v>
      </c>
      <c r="M212" s="27" t="n">
        <v>-0.58</v>
      </c>
      <c r="N212" s="26" t="n">
        <v>2271858.08</v>
      </c>
      <c r="O212" s="26" t="n">
        <v>2463482.02</v>
      </c>
      <c r="P212" s="33" t="n">
        <v>191623.94</v>
      </c>
      <c r="Q212" s="27" t="n">
        <v>46.89</v>
      </c>
      <c r="R212" s="27" t="n">
        <v>49.05</v>
      </c>
    </row>
    <row r="213">
      <c r="A213" s="28" t="inlineStr">
        <is>
          <t>Sep</t>
        </is>
      </c>
      <c r="B213" s="28" t="n">
        <v>9</v>
      </c>
      <c r="C213" s="28" t="inlineStr">
        <is>
          <t>Asia Pacific</t>
        </is>
      </c>
      <c r="D213" s="28" t="inlineStr">
        <is>
          <t>Equity Funds</t>
        </is>
      </c>
      <c r="E213" s="29" t="n">
        <v>1319931.27</v>
      </c>
      <c r="F213" s="29" t="n">
        <v>1446368.07</v>
      </c>
      <c r="G213" s="29" t="n">
        <v>650704.61</v>
      </c>
      <c r="H213" s="29" t="n">
        <v>684174.08</v>
      </c>
      <c r="I213" s="28" t="n">
        <v>2024</v>
      </c>
      <c r="J213" s="33" t="n">
        <v>126436.8</v>
      </c>
      <c r="K213" s="30" t="n">
        <v>9.58</v>
      </c>
      <c r="L213" s="33" t="n">
        <v>33469.47</v>
      </c>
      <c r="M213" s="30" t="n">
        <v>5.14</v>
      </c>
      <c r="N213" s="29" t="n">
        <v>669226.66</v>
      </c>
      <c r="O213" s="29" t="n">
        <v>762193.99</v>
      </c>
      <c r="P213" s="33" t="n">
        <v>92967.33</v>
      </c>
      <c r="Q213" s="30" t="n">
        <v>50.7</v>
      </c>
      <c r="R213" s="30" t="n">
        <v>52.7</v>
      </c>
    </row>
    <row r="214">
      <c r="A214" s="25" t="inlineStr">
        <is>
          <t>Sep</t>
        </is>
      </c>
      <c r="B214" s="25" t="n">
        <v>9</v>
      </c>
      <c r="C214" s="25" t="inlineStr">
        <is>
          <t>Asia Pacific</t>
        </is>
      </c>
      <c r="D214" s="25" t="inlineStr">
        <is>
          <t>Fixed Income</t>
        </is>
      </c>
      <c r="E214" s="26" t="n">
        <v>2771833.25</v>
      </c>
      <c r="F214" s="26" t="n">
        <v>2730427.57</v>
      </c>
      <c r="G214" s="26" t="n">
        <v>1446966.99</v>
      </c>
      <c r="H214" s="26" t="n">
        <v>1454866.75</v>
      </c>
      <c r="I214" s="25" t="n">
        <v>2024</v>
      </c>
      <c r="J214" s="32" t="n">
        <v>-41405.68</v>
      </c>
      <c r="K214" s="27" t="n">
        <v>-1.49</v>
      </c>
      <c r="L214" s="33" t="n">
        <v>7899.76</v>
      </c>
      <c r="M214" s="27" t="n">
        <v>0.55</v>
      </c>
      <c r="N214" s="26" t="n">
        <v>1324866.26</v>
      </c>
      <c r="O214" s="26" t="n">
        <v>1275560.82</v>
      </c>
      <c r="P214" s="32" t="n">
        <v>-49305.44</v>
      </c>
      <c r="Q214" s="27" t="n">
        <v>47.8</v>
      </c>
      <c r="R214" s="27" t="n">
        <v>46.72</v>
      </c>
    </row>
    <row r="215">
      <c r="A215" s="28" t="inlineStr">
        <is>
          <t>Sep</t>
        </is>
      </c>
      <c r="B215" s="28" t="n">
        <v>9</v>
      </c>
      <c r="C215" s="28" t="inlineStr">
        <is>
          <t>Asia Pacific</t>
        </is>
      </c>
      <c r="D215" s="28" t="inlineStr">
        <is>
          <t>Real Estate</t>
        </is>
      </c>
      <c r="E215" s="29" t="n">
        <v>1403046.6</v>
      </c>
      <c r="F215" s="29" t="n">
        <v>1372326.41</v>
      </c>
      <c r="G215" s="29" t="n">
        <v>797452.65</v>
      </c>
      <c r="H215" s="29" t="n">
        <v>816186.89</v>
      </c>
      <c r="I215" s="28" t="n">
        <v>2024</v>
      </c>
      <c r="J215" s="32" t="n">
        <v>-30720.19</v>
      </c>
      <c r="K215" s="30" t="n">
        <v>-2.19</v>
      </c>
      <c r="L215" s="33" t="n">
        <v>18734.24</v>
      </c>
      <c r="M215" s="30" t="n">
        <v>2.35</v>
      </c>
      <c r="N215" s="29" t="n">
        <v>605593.95</v>
      </c>
      <c r="O215" s="29" t="n">
        <v>556139.52</v>
      </c>
      <c r="P215" s="32" t="n">
        <v>-49454.43</v>
      </c>
      <c r="Q215" s="30" t="n">
        <v>43.16</v>
      </c>
      <c r="R215" s="30" t="n">
        <v>40.53</v>
      </c>
    </row>
    <row r="216">
      <c r="A216" s="25" t="inlineStr">
        <is>
          <t>Sep</t>
        </is>
      </c>
      <c r="B216" s="25" t="n">
        <v>9</v>
      </c>
      <c r="C216" s="25" t="inlineStr">
        <is>
          <t>Asia Pacific</t>
        </is>
      </c>
      <c r="D216" s="25" t="inlineStr">
        <is>
          <t>Hedge Funds</t>
        </is>
      </c>
      <c r="E216" s="26" t="n">
        <v>3757520</v>
      </c>
      <c r="F216" s="26" t="n">
        <v>3391843.52</v>
      </c>
      <c r="G216" s="26" t="n">
        <v>2745255.07</v>
      </c>
      <c r="H216" s="26" t="n">
        <v>2603037.88</v>
      </c>
      <c r="I216" s="25" t="n">
        <v>2024</v>
      </c>
      <c r="J216" s="32" t="n">
        <v>-365676.48</v>
      </c>
      <c r="K216" s="27" t="n">
        <v>-9.73</v>
      </c>
      <c r="L216" s="32" t="n">
        <v>-142217.19</v>
      </c>
      <c r="M216" s="27" t="n">
        <v>-5.18</v>
      </c>
      <c r="N216" s="26" t="n">
        <v>1012264.93</v>
      </c>
      <c r="O216" s="26" t="n">
        <v>788805.64</v>
      </c>
      <c r="P216" s="32" t="n">
        <v>-223459.29</v>
      </c>
      <c r="Q216" s="27" t="n">
        <v>26.94</v>
      </c>
      <c r="R216" s="27" t="n">
        <v>23.26</v>
      </c>
    </row>
    <row r="217">
      <c r="A217" s="28" t="inlineStr">
        <is>
          <t>Sep</t>
        </is>
      </c>
      <c r="B217" s="28" t="n">
        <v>9</v>
      </c>
      <c r="C217" s="28" t="inlineStr">
        <is>
          <t>Asia Pacific</t>
        </is>
      </c>
      <c r="D217" s="28" t="inlineStr">
        <is>
          <t>Private Equity</t>
        </is>
      </c>
      <c r="E217" s="29" t="n">
        <v>4151726.65</v>
      </c>
      <c r="F217" s="29" t="n">
        <v>4523667.88</v>
      </c>
      <c r="G217" s="29" t="n">
        <v>2401364.74</v>
      </c>
      <c r="H217" s="29" t="n">
        <v>2449049.8</v>
      </c>
      <c r="I217" s="28" t="n">
        <v>2024</v>
      </c>
      <c r="J217" s="33" t="n">
        <v>371941.23</v>
      </c>
      <c r="K217" s="30" t="n">
        <v>8.960000000000001</v>
      </c>
      <c r="L217" s="33" t="n">
        <v>47685.06</v>
      </c>
      <c r="M217" s="30" t="n">
        <v>1.99</v>
      </c>
      <c r="N217" s="29" t="n">
        <v>1750361.91</v>
      </c>
      <c r="O217" s="29" t="n">
        <v>2074618.08</v>
      </c>
      <c r="P217" s="33" t="n">
        <v>324256.17</v>
      </c>
      <c r="Q217" s="30" t="n">
        <v>42.16</v>
      </c>
      <c r="R217" s="30" t="n">
        <v>45.86</v>
      </c>
    </row>
    <row r="218">
      <c r="A218" s="25" t="inlineStr">
        <is>
          <t>Sep</t>
        </is>
      </c>
      <c r="B218" s="25" t="n">
        <v>9</v>
      </c>
      <c r="C218" s="25" t="inlineStr">
        <is>
          <t>Latin America</t>
        </is>
      </c>
      <c r="D218" s="25" t="inlineStr">
        <is>
          <t>Equity Funds</t>
        </is>
      </c>
      <c r="E218" s="26" t="n">
        <v>1524392.91</v>
      </c>
      <c r="F218" s="26" t="n">
        <v>1597007.66</v>
      </c>
      <c r="G218" s="26" t="n">
        <v>756878.46</v>
      </c>
      <c r="H218" s="26" t="n">
        <v>774142.78</v>
      </c>
      <c r="I218" s="25" t="n">
        <v>2024</v>
      </c>
      <c r="J218" s="33" t="n">
        <v>72614.75</v>
      </c>
      <c r="K218" s="27" t="n">
        <v>4.76</v>
      </c>
      <c r="L218" s="33" t="n">
        <v>17264.32</v>
      </c>
      <c r="M218" s="27" t="n">
        <v>2.28</v>
      </c>
      <c r="N218" s="26" t="n">
        <v>767514.45</v>
      </c>
      <c r="O218" s="26" t="n">
        <v>822864.88</v>
      </c>
      <c r="P218" s="33" t="n">
        <v>55350.43</v>
      </c>
      <c r="Q218" s="27" t="n">
        <v>50.35</v>
      </c>
      <c r="R218" s="27" t="n">
        <v>51.53</v>
      </c>
    </row>
    <row r="219">
      <c r="A219" s="28" t="inlineStr">
        <is>
          <t>Sep</t>
        </is>
      </c>
      <c r="B219" s="28" t="n">
        <v>9</v>
      </c>
      <c r="C219" s="28" t="inlineStr">
        <is>
          <t>Latin America</t>
        </is>
      </c>
      <c r="D219" s="28" t="inlineStr">
        <is>
          <t>Fixed Income</t>
        </is>
      </c>
      <c r="E219" s="29" t="n">
        <v>4622710.86</v>
      </c>
      <c r="F219" s="29" t="n">
        <v>4946295.4</v>
      </c>
      <c r="G219" s="29" t="n">
        <v>2734179.03</v>
      </c>
      <c r="H219" s="29" t="n">
        <v>2845809.92</v>
      </c>
      <c r="I219" s="28" t="n">
        <v>2024</v>
      </c>
      <c r="J219" s="33" t="n">
        <v>323584.54</v>
      </c>
      <c r="K219" s="30" t="n">
        <v>7</v>
      </c>
      <c r="L219" s="33" t="n">
        <v>111630.89</v>
      </c>
      <c r="M219" s="30" t="n">
        <v>4.08</v>
      </c>
      <c r="N219" s="29" t="n">
        <v>1888531.83</v>
      </c>
      <c r="O219" s="29" t="n">
        <v>2100485.48</v>
      </c>
      <c r="P219" s="33" t="n">
        <v>211953.65</v>
      </c>
      <c r="Q219" s="30" t="n">
        <v>40.85</v>
      </c>
      <c r="R219" s="30" t="n">
        <v>42.47</v>
      </c>
    </row>
    <row r="220">
      <c r="A220" s="25" t="inlineStr">
        <is>
          <t>Sep</t>
        </is>
      </c>
      <c r="B220" s="25" t="n">
        <v>9</v>
      </c>
      <c r="C220" s="25" t="inlineStr">
        <is>
          <t>Latin America</t>
        </is>
      </c>
      <c r="D220" s="25" t="inlineStr">
        <is>
          <t>Real Estate</t>
        </is>
      </c>
      <c r="E220" s="26" t="n">
        <v>4440402.81</v>
      </c>
      <c r="F220" s="26" t="n">
        <v>4468530.1</v>
      </c>
      <c r="G220" s="26" t="n">
        <v>2959664.01</v>
      </c>
      <c r="H220" s="26" t="n">
        <v>2905258.07</v>
      </c>
      <c r="I220" s="25" t="n">
        <v>2024</v>
      </c>
      <c r="J220" s="33" t="n">
        <v>28127.29</v>
      </c>
      <c r="K220" s="27" t="n">
        <v>0.63</v>
      </c>
      <c r="L220" s="32" t="n">
        <v>-54405.94</v>
      </c>
      <c r="M220" s="27" t="n">
        <v>-1.84</v>
      </c>
      <c r="N220" s="26" t="n">
        <v>1480738.8</v>
      </c>
      <c r="O220" s="26" t="n">
        <v>1563272.03</v>
      </c>
      <c r="P220" s="33" t="n">
        <v>82533.23</v>
      </c>
      <c r="Q220" s="27" t="n">
        <v>33.35</v>
      </c>
      <c r="R220" s="27" t="n">
        <v>34.98</v>
      </c>
    </row>
    <row r="221">
      <c r="A221" s="28" t="inlineStr">
        <is>
          <t>Sep</t>
        </is>
      </c>
      <c r="B221" s="28" t="n">
        <v>9</v>
      </c>
      <c r="C221" s="28" t="inlineStr">
        <is>
          <t>Latin America</t>
        </is>
      </c>
      <c r="D221" s="28" t="inlineStr">
        <is>
          <t>Hedge Funds</t>
        </is>
      </c>
      <c r="E221" s="29" t="n">
        <v>2171340.59</v>
      </c>
      <c r="F221" s="29" t="n">
        <v>2022400.17</v>
      </c>
      <c r="G221" s="29" t="n">
        <v>1412240.51</v>
      </c>
      <c r="H221" s="29" t="n">
        <v>1407587.21</v>
      </c>
      <c r="I221" s="28" t="n">
        <v>2024</v>
      </c>
      <c r="J221" s="32" t="n">
        <v>-148940.42</v>
      </c>
      <c r="K221" s="30" t="n">
        <v>-6.86</v>
      </c>
      <c r="L221" s="32" t="n">
        <v>-4653.3</v>
      </c>
      <c r="M221" s="30" t="n">
        <v>-0.33</v>
      </c>
      <c r="N221" s="29" t="n">
        <v>759100.08</v>
      </c>
      <c r="O221" s="29" t="n">
        <v>614812.96</v>
      </c>
      <c r="P221" s="32" t="n">
        <v>-144287.12</v>
      </c>
      <c r="Q221" s="30" t="n">
        <v>34.96</v>
      </c>
      <c r="R221" s="30" t="n">
        <v>30.4</v>
      </c>
    </row>
    <row r="222">
      <c r="A222" s="25" t="inlineStr">
        <is>
          <t>Sep</t>
        </is>
      </c>
      <c r="B222" s="25" t="n">
        <v>9</v>
      </c>
      <c r="C222" s="25" t="inlineStr">
        <is>
          <t>Latin America</t>
        </is>
      </c>
      <c r="D222" s="25" t="inlineStr">
        <is>
          <t>Private Equity</t>
        </is>
      </c>
      <c r="E222" s="26" t="n">
        <v>1603363.35</v>
      </c>
      <c r="F222" s="26" t="n">
        <v>1735901.88</v>
      </c>
      <c r="G222" s="26" t="n">
        <v>791809.65</v>
      </c>
      <c r="H222" s="26" t="n">
        <v>843285.14</v>
      </c>
      <c r="I222" s="25" t="n">
        <v>2024</v>
      </c>
      <c r="J222" s="33" t="n">
        <v>132538.53</v>
      </c>
      <c r="K222" s="27" t="n">
        <v>8.27</v>
      </c>
      <c r="L222" s="33" t="n">
        <v>51475.49</v>
      </c>
      <c r="M222" s="27" t="n">
        <v>6.5</v>
      </c>
      <c r="N222" s="26" t="n">
        <v>811553.7</v>
      </c>
      <c r="O222" s="26" t="n">
        <v>892616.74</v>
      </c>
      <c r="P222" s="33" t="n">
        <v>81063.03999999999</v>
      </c>
      <c r="Q222" s="27" t="n">
        <v>50.62</v>
      </c>
      <c r="R222" s="27" t="n">
        <v>51.42</v>
      </c>
    </row>
    <row r="223">
      <c r="A223" s="28" t="inlineStr">
        <is>
          <t>Sep</t>
        </is>
      </c>
      <c r="B223" s="28" t="n">
        <v>9</v>
      </c>
      <c r="C223" s="28" t="inlineStr">
        <is>
          <t>Middle East</t>
        </is>
      </c>
      <c r="D223" s="28" t="inlineStr">
        <is>
          <t>Equity Funds</t>
        </is>
      </c>
      <c r="E223" s="29" t="n">
        <v>3909272.43</v>
      </c>
      <c r="F223" s="29" t="n">
        <v>3756120.62</v>
      </c>
      <c r="G223" s="29" t="n">
        <v>3244377.91</v>
      </c>
      <c r="H223" s="29" t="n">
        <v>2957093.99</v>
      </c>
      <c r="I223" s="28" t="n">
        <v>2024</v>
      </c>
      <c r="J223" s="32" t="n">
        <v>-153151.81</v>
      </c>
      <c r="K223" s="30" t="n">
        <v>-3.92</v>
      </c>
      <c r="L223" s="32" t="n">
        <v>-287283.92</v>
      </c>
      <c r="M223" s="30" t="n">
        <v>-8.85</v>
      </c>
      <c r="N223" s="29" t="n">
        <v>664894.52</v>
      </c>
      <c r="O223" s="29" t="n">
        <v>799026.63</v>
      </c>
      <c r="P223" s="33" t="n">
        <v>134132.11</v>
      </c>
      <c r="Q223" s="30" t="n">
        <v>17.01</v>
      </c>
      <c r="R223" s="30" t="n">
        <v>21.27</v>
      </c>
    </row>
    <row r="224">
      <c r="A224" s="25" t="inlineStr">
        <is>
          <t>Sep</t>
        </is>
      </c>
      <c r="B224" s="25" t="n">
        <v>9</v>
      </c>
      <c r="C224" s="25" t="inlineStr">
        <is>
          <t>Middle East</t>
        </is>
      </c>
      <c r="D224" s="25" t="inlineStr">
        <is>
          <t>Fixed Income</t>
        </is>
      </c>
      <c r="E224" s="26" t="n">
        <v>2540091.05</v>
      </c>
      <c r="F224" s="26" t="n">
        <v>2705358.2</v>
      </c>
      <c r="G224" s="26" t="n">
        <v>1261379.19</v>
      </c>
      <c r="H224" s="26" t="n">
        <v>1160127.53</v>
      </c>
      <c r="I224" s="25" t="n">
        <v>2024</v>
      </c>
      <c r="J224" s="33" t="n">
        <v>165267.15</v>
      </c>
      <c r="K224" s="27" t="n">
        <v>6.51</v>
      </c>
      <c r="L224" s="32" t="n">
        <v>-101251.66</v>
      </c>
      <c r="M224" s="27" t="n">
        <v>-8.029999999999999</v>
      </c>
      <c r="N224" s="26" t="n">
        <v>1278711.86</v>
      </c>
      <c r="O224" s="26" t="n">
        <v>1545230.67</v>
      </c>
      <c r="P224" s="33" t="n">
        <v>266518.81</v>
      </c>
      <c r="Q224" s="27" t="n">
        <v>50.34</v>
      </c>
      <c r="R224" s="27" t="n">
        <v>57.12</v>
      </c>
    </row>
    <row r="225">
      <c r="A225" s="28" t="inlineStr">
        <is>
          <t>Sep</t>
        </is>
      </c>
      <c r="B225" s="28" t="n">
        <v>9</v>
      </c>
      <c r="C225" s="28" t="inlineStr">
        <is>
          <t>Middle East</t>
        </is>
      </c>
      <c r="D225" s="28" t="inlineStr">
        <is>
          <t>Real Estate</t>
        </is>
      </c>
      <c r="E225" s="29" t="n">
        <v>2731285.43</v>
      </c>
      <c r="F225" s="29" t="n">
        <v>2559234.25</v>
      </c>
      <c r="G225" s="29" t="n">
        <v>1495505.78</v>
      </c>
      <c r="H225" s="29" t="n">
        <v>1418311.82</v>
      </c>
      <c r="I225" s="28" t="n">
        <v>2024</v>
      </c>
      <c r="J225" s="32" t="n">
        <v>-172051.18</v>
      </c>
      <c r="K225" s="30" t="n">
        <v>-6.3</v>
      </c>
      <c r="L225" s="32" t="n">
        <v>-77193.96000000001</v>
      </c>
      <c r="M225" s="30" t="n">
        <v>-5.16</v>
      </c>
      <c r="N225" s="29" t="n">
        <v>1235779.65</v>
      </c>
      <c r="O225" s="29" t="n">
        <v>1140922.43</v>
      </c>
      <c r="P225" s="32" t="n">
        <v>-94857.22</v>
      </c>
      <c r="Q225" s="30" t="n">
        <v>45.25</v>
      </c>
      <c r="R225" s="30" t="n">
        <v>44.58</v>
      </c>
    </row>
    <row r="226">
      <c r="A226" s="25" t="inlineStr">
        <is>
          <t>Sep</t>
        </is>
      </c>
      <c r="B226" s="25" t="n">
        <v>9</v>
      </c>
      <c r="C226" s="25" t="inlineStr">
        <is>
          <t>Middle East</t>
        </is>
      </c>
      <c r="D226" s="25" t="inlineStr">
        <is>
          <t>Hedge Funds</t>
        </is>
      </c>
      <c r="E226" s="26" t="n">
        <v>3970680.37</v>
      </c>
      <c r="F226" s="26" t="n">
        <v>3789110.27</v>
      </c>
      <c r="G226" s="26" t="n">
        <v>2448216.12</v>
      </c>
      <c r="H226" s="26" t="n">
        <v>2430010.56</v>
      </c>
      <c r="I226" s="25" t="n">
        <v>2024</v>
      </c>
      <c r="J226" s="32" t="n">
        <v>-181570.1</v>
      </c>
      <c r="K226" s="27" t="n">
        <v>-4.57</v>
      </c>
      <c r="L226" s="32" t="n">
        <v>-18205.56</v>
      </c>
      <c r="M226" s="27" t="n">
        <v>-0.74</v>
      </c>
      <c r="N226" s="26" t="n">
        <v>1522464.25</v>
      </c>
      <c r="O226" s="26" t="n">
        <v>1359099.71</v>
      </c>
      <c r="P226" s="32" t="n">
        <v>-163364.54</v>
      </c>
      <c r="Q226" s="27" t="n">
        <v>38.34</v>
      </c>
      <c r="R226" s="27" t="n">
        <v>35.87</v>
      </c>
    </row>
    <row r="227">
      <c r="A227" s="28" t="inlineStr">
        <is>
          <t>Sep</t>
        </is>
      </c>
      <c r="B227" s="28" t="n">
        <v>9</v>
      </c>
      <c r="C227" s="28" t="inlineStr">
        <is>
          <t>Middle East</t>
        </is>
      </c>
      <c r="D227" s="28" t="inlineStr">
        <is>
          <t>Private Equity</t>
        </is>
      </c>
      <c r="E227" s="29" t="n">
        <v>4692676.77</v>
      </c>
      <c r="F227" s="29" t="n">
        <v>5238273.42</v>
      </c>
      <c r="G227" s="29" t="n">
        <v>2395205.53</v>
      </c>
      <c r="H227" s="29" t="n">
        <v>2269757.16</v>
      </c>
      <c r="I227" s="28" t="n">
        <v>2024</v>
      </c>
      <c r="J227" s="33" t="n">
        <v>545596.65</v>
      </c>
      <c r="K227" s="30" t="n">
        <v>11.63</v>
      </c>
      <c r="L227" s="32" t="n">
        <v>-125448.37</v>
      </c>
      <c r="M227" s="30" t="n">
        <v>-5.24</v>
      </c>
      <c r="N227" s="29" t="n">
        <v>2297471.24</v>
      </c>
      <c r="O227" s="29" t="n">
        <v>2968516.26</v>
      </c>
      <c r="P227" s="33" t="n">
        <v>671045.02</v>
      </c>
      <c r="Q227" s="30" t="n">
        <v>48.96</v>
      </c>
      <c r="R227" s="30" t="n">
        <v>56.67</v>
      </c>
    </row>
    <row r="228">
      <c r="A228" s="25" t="inlineStr">
        <is>
          <t>Oct</t>
        </is>
      </c>
      <c r="B228" s="25" t="n">
        <v>10</v>
      </c>
      <c r="C228" s="25" t="inlineStr">
        <is>
          <t>North America</t>
        </is>
      </c>
      <c r="D228" s="25" t="inlineStr">
        <is>
          <t>Equity Funds</t>
        </is>
      </c>
      <c r="E228" s="26" t="n">
        <v>2628033.29</v>
      </c>
      <c r="F228" s="26" t="n">
        <v>2827905.46</v>
      </c>
      <c r="G228" s="26" t="n">
        <v>1550216.93</v>
      </c>
      <c r="H228" s="26" t="n">
        <v>1415682.36</v>
      </c>
      <c r="I228" s="25" t="n">
        <v>2024</v>
      </c>
      <c r="J228" s="33" t="n">
        <v>199872.17</v>
      </c>
      <c r="K228" s="27" t="n">
        <v>7.61</v>
      </c>
      <c r="L228" s="32" t="n">
        <v>-134534.57</v>
      </c>
      <c r="M228" s="27" t="n">
        <v>-8.68</v>
      </c>
      <c r="N228" s="26" t="n">
        <v>1077816.36</v>
      </c>
      <c r="O228" s="26" t="n">
        <v>1412223.1</v>
      </c>
      <c r="P228" s="33" t="n">
        <v>334406.74</v>
      </c>
      <c r="Q228" s="27" t="n">
        <v>41.01</v>
      </c>
      <c r="R228" s="27" t="n">
        <v>49.94</v>
      </c>
    </row>
    <row r="229">
      <c r="A229" s="28" t="inlineStr">
        <is>
          <t>Oct</t>
        </is>
      </c>
      <c r="B229" s="28" t="n">
        <v>10</v>
      </c>
      <c r="C229" s="28" t="inlineStr">
        <is>
          <t>North America</t>
        </is>
      </c>
      <c r="D229" s="28" t="inlineStr">
        <is>
          <t>Fixed Income</t>
        </is>
      </c>
      <c r="E229" s="29" t="n">
        <v>1988437.77</v>
      </c>
      <c r="F229" s="29" t="n">
        <v>2014465.98</v>
      </c>
      <c r="G229" s="29" t="n">
        <v>1093909.5</v>
      </c>
      <c r="H229" s="29" t="n">
        <v>1184719.46</v>
      </c>
      <c r="I229" s="28" t="n">
        <v>2024</v>
      </c>
      <c r="J229" s="33" t="n">
        <v>26028.21</v>
      </c>
      <c r="K229" s="30" t="n">
        <v>1.31</v>
      </c>
      <c r="L229" s="33" t="n">
        <v>90809.96000000001</v>
      </c>
      <c r="M229" s="30" t="n">
        <v>8.300000000000001</v>
      </c>
      <c r="N229" s="29" t="n">
        <v>894528.27</v>
      </c>
      <c r="O229" s="29" t="n">
        <v>829746.52</v>
      </c>
      <c r="P229" s="32" t="n">
        <v>-64781.75</v>
      </c>
      <c r="Q229" s="30" t="n">
        <v>44.99</v>
      </c>
      <c r="R229" s="30" t="n">
        <v>41.19</v>
      </c>
    </row>
    <row r="230">
      <c r="A230" s="25" t="inlineStr">
        <is>
          <t>Oct</t>
        </is>
      </c>
      <c r="B230" s="25" t="n">
        <v>10</v>
      </c>
      <c r="C230" s="25" t="inlineStr">
        <is>
          <t>North America</t>
        </is>
      </c>
      <c r="D230" s="25" t="inlineStr">
        <is>
          <t>Real Estate</t>
        </is>
      </c>
      <c r="E230" s="26" t="n">
        <v>4605119.23</v>
      </c>
      <c r="F230" s="26" t="n">
        <v>4354001.67</v>
      </c>
      <c r="G230" s="26" t="n">
        <v>2532753.8</v>
      </c>
      <c r="H230" s="26" t="n">
        <v>2318390.83</v>
      </c>
      <c r="I230" s="25" t="n">
        <v>2024</v>
      </c>
      <c r="J230" s="32" t="n">
        <v>-251117.56</v>
      </c>
      <c r="K230" s="27" t="n">
        <v>-5.45</v>
      </c>
      <c r="L230" s="32" t="n">
        <v>-214362.97</v>
      </c>
      <c r="M230" s="27" t="n">
        <v>-8.460000000000001</v>
      </c>
      <c r="N230" s="26" t="n">
        <v>2072365.43</v>
      </c>
      <c r="O230" s="26" t="n">
        <v>2035610.84</v>
      </c>
      <c r="P230" s="32" t="n">
        <v>-36754.59</v>
      </c>
      <c r="Q230" s="27" t="n">
        <v>45</v>
      </c>
      <c r="R230" s="27" t="n">
        <v>46.75</v>
      </c>
    </row>
    <row r="231">
      <c r="A231" s="28" t="inlineStr">
        <is>
          <t>Oct</t>
        </is>
      </c>
      <c r="B231" s="28" t="n">
        <v>10</v>
      </c>
      <c r="C231" s="28" t="inlineStr">
        <is>
          <t>North America</t>
        </is>
      </c>
      <c r="D231" s="28" t="inlineStr">
        <is>
          <t>Hedge Funds</t>
        </is>
      </c>
      <c r="E231" s="29" t="n">
        <v>2490766.21</v>
      </c>
      <c r="F231" s="29" t="n">
        <v>2461551.31</v>
      </c>
      <c r="G231" s="29" t="n">
        <v>1877410.09</v>
      </c>
      <c r="H231" s="29" t="n">
        <v>1664137.89</v>
      </c>
      <c r="I231" s="28" t="n">
        <v>2024</v>
      </c>
      <c r="J231" s="32" t="n">
        <v>-29214.9</v>
      </c>
      <c r="K231" s="30" t="n">
        <v>-1.17</v>
      </c>
      <c r="L231" s="32" t="n">
        <v>-213272.2</v>
      </c>
      <c r="M231" s="30" t="n">
        <v>-11.36</v>
      </c>
      <c r="N231" s="29" t="n">
        <v>613356.12</v>
      </c>
      <c r="O231" s="29" t="n">
        <v>797413.42</v>
      </c>
      <c r="P231" s="33" t="n">
        <v>184057.3</v>
      </c>
      <c r="Q231" s="30" t="n">
        <v>24.63</v>
      </c>
      <c r="R231" s="30" t="n">
        <v>32.39</v>
      </c>
    </row>
    <row r="232">
      <c r="A232" s="25" t="inlineStr">
        <is>
          <t>Oct</t>
        </is>
      </c>
      <c r="B232" s="25" t="n">
        <v>10</v>
      </c>
      <c r="C232" s="25" t="inlineStr">
        <is>
          <t>North America</t>
        </is>
      </c>
      <c r="D232" s="25" t="inlineStr">
        <is>
          <t>Private Equity</t>
        </is>
      </c>
      <c r="E232" s="26" t="n">
        <v>969583.24</v>
      </c>
      <c r="F232" s="26" t="n">
        <v>1084659.28</v>
      </c>
      <c r="G232" s="26" t="n">
        <v>599442.42</v>
      </c>
      <c r="H232" s="26" t="n">
        <v>531564.5600000001</v>
      </c>
      <c r="I232" s="25" t="n">
        <v>2024</v>
      </c>
      <c r="J232" s="33" t="n">
        <v>115076.04</v>
      </c>
      <c r="K232" s="27" t="n">
        <v>11.87</v>
      </c>
      <c r="L232" s="32" t="n">
        <v>-67877.86</v>
      </c>
      <c r="M232" s="27" t="n">
        <v>-11.32</v>
      </c>
      <c r="N232" s="26" t="n">
        <v>370140.82</v>
      </c>
      <c r="O232" s="26" t="n">
        <v>553094.72</v>
      </c>
      <c r="P232" s="33" t="n">
        <v>182953.9</v>
      </c>
      <c r="Q232" s="27" t="n">
        <v>38.18</v>
      </c>
      <c r="R232" s="27" t="n">
        <v>50.99</v>
      </c>
    </row>
    <row r="233">
      <c r="A233" s="28" t="inlineStr">
        <is>
          <t>Oct</t>
        </is>
      </c>
      <c r="B233" s="28" t="n">
        <v>10</v>
      </c>
      <c r="C233" s="28" t="inlineStr">
        <is>
          <t>Europe</t>
        </is>
      </c>
      <c r="D233" s="28" t="inlineStr">
        <is>
          <t>Equity Funds</t>
        </is>
      </c>
      <c r="E233" s="29" t="n">
        <v>4850715.83</v>
      </c>
      <c r="F233" s="29" t="n">
        <v>5189932.95</v>
      </c>
      <c r="G233" s="29" t="n">
        <v>3065345.11</v>
      </c>
      <c r="H233" s="29" t="n">
        <v>2908555.94</v>
      </c>
      <c r="I233" s="28" t="n">
        <v>2024</v>
      </c>
      <c r="J233" s="33" t="n">
        <v>339217.12</v>
      </c>
      <c r="K233" s="30" t="n">
        <v>6.99</v>
      </c>
      <c r="L233" s="32" t="n">
        <v>-156789.17</v>
      </c>
      <c r="M233" s="30" t="n">
        <v>-5.11</v>
      </c>
      <c r="N233" s="29" t="n">
        <v>1785370.72</v>
      </c>
      <c r="O233" s="29" t="n">
        <v>2281377.01</v>
      </c>
      <c r="P233" s="33" t="n">
        <v>496006.29</v>
      </c>
      <c r="Q233" s="30" t="n">
        <v>36.81</v>
      </c>
      <c r="R233" s="30" t="n">
        <v>43.96</v>
      </c>
    </row>
    <row r="234">
      <c r="A234" s="25" t="inlineStr">
        <is>
          <t>Oct</t>
        </is>
      </c>
      <c r="B234" s="25" t="n">
        <v>10</v>
      </c>
      <c r="C234" s="25" t="inlineStr">
        <is>
          <t>Europe</t>
        </is>
      </c>
      <c r="D234" s="25" t="inlineStr">
        <is>
          <t>Fixed Income</t>
        </is>
      </c>
      <c r="E234" s="26" t="n">
        <v>3975444.08</v>
      </c>
      <c r="F234" s="26" t="n">
        <v>4171547.5</v>
      </c>
      <c r="G234" s="26" t="n">
        <v>2794029.53</v>
      </c>
      <c r="H234" s="26" t="n">
        <v>2462267.27</v>
      </c>
      <c r="I234" s="25" t="n">
        <v>2024</v>
      </c>
      <c r="J234" s="33" t="n">
        <v>196103.42</v>
      </c>
      <c r="K234" s="27" t="n">
        <v>4.93</v>
      </c>
      <c r="L234" s="32" t="n">
        <v>-331762.26</v>
      </c>
      <c r="M234" s="27" t="n">
        <v>-11.87</v>
      </c>
      <c r="N234" s="26" t="n">
        <v>1181414.55</v>
      </c>
      <c r="O234" s="26" t="n">
        <v>1709280.23</v>
      </c>
      <c r="P234" s="33" t="n">
        <v>527865.6800000001</v>
      </c>
      <c r="Q234" s="27" t="n">
        <v>29.72</v>
      </c>
      <c r="R234" s="27" t="n">
        <v>40.97</v>
      </c>
    </row>
    <row r="235">
      <c r="A235" s="28" t="inlineStr">
        <is>
          <t>Oct</t>
        </is>
      </c>
      <c r="B235" s="28" t="n">
        <v>10</v>
      </c>
      <c r="C235" s="28" t="inlineStr">
        <is>
          <t>Europe</t>
        </is>
      </c>
      <c r="D235" s="28" t="inlineStr">
        <is>
          <t>Real Estate</t>
        </is>
      </c>
      <c r="E235" s="29" t="n">
        <v>1208634.01</v>
      </c>
      <c r="F235" s="29" t="n">
        <v>1222790.76</v>
      </c>
      <c r="G235" s="29" t="n">
        <v>623824.39</v>
      </c>
      <c r="H235" s="29" t="n">
        <v>627982.28</v>
      </c>
      <c r="I235" s="28" t="n">
        <v>2024</v>
      </c>
      <c r="J235" s="33" t="n">
        <v>14156.75</v>
      </c>
      <c r="K235" s="30" t="n">
        <v>1.17</v>
      </c>
      <c r="L235" s="33" t="n">
        <v>4157.89</v>
      </c>
      <c r="M235" s="30" t="n">
        <v>0.67</v>
      </c>
      <c r="N235" s="29" t="n">
        <v>584809.62</v>
      </c>
      <c r="O235" s="29" t="n">
        <v>594808.48</v>
      </c>
      <c r="P235" s="33" t="n">
        <v>9998.860000000001</v>
      </c>
      <c r="Q235" s="30" t="n">
        <v>48.39</v>
      </c>
      <c r="R235" s="30" t="n">
        <v>48.64</v>
      </c>
    </row>
    <row r="236">
      <c r="A236" s="25" t="inlineStr">
        <is>
          <t>Oct</t>
        </is>
      </c>
      <c r="B236" s="25" t="n">
        <v>10</v>
      </c>
      <c r="C236" s="25" t="inlineStr">
        <is>
          <t>Europe</t>
        </is>
      </c>
      <c r="D236" s="25" t="inlineStr">
        <is>
          <t>Hedge Funds</t>
        </is>
      </c>
      <c r="E236" s="26" t="n">
        <v>1216597.13</v>
      </c>
      <c r="F236" s="26" t="n">
        <v>1084547.52</v>
      </c>
      <c r="G236" s="26" t="n">
        <v>668751.16</v>
      </c>
      <c r="H236" s="26" t="n">
        <v>715922.05</v>
      </c>
      <c r="I236" s="25" t="n">
        <v>2024</v>
      </c>
      <c r="J236" s="32" t="n">
        <v>-132049.61</v>
      </c>
      <c r="K236" s="27" t="n">
        <v>-10.85</v>
      </c>
      <c r="L236" s="33" t="n">
        <v>47170.89</v>
      </c>
      <c r="M236" s="27" t="n">
        <v>7.05</v>
      </c>
      <c r="N236" s="26" t="n">
        <v>547845.97</v>
      </c>
      <c r="O236" s="26" t="n">
        <v>368625.47</v>
      </c>
      <c r="P236" s="32" t="n">
        <v>-179220.5</v>
      </c>
      <c r="Q236" s="27" t="n">
        <v>45.03</v>
      </c>
      <c r="R236" s="27" t="n">
        <v>33.99</v>
      </c>
    </row>
    <row r="237">
      <c r="A237" s="28" t="inlineStr">
        <is>
          <t>Oct</t>
        </is>
      </c>
      <c r="B237" s="28" t="n">
        <v>10</v>
      </c>
      <c r="C237" s="28" t="inlineStr">
        <is>
          <t>Europe</t>
        </is>
      </c>
      <c r="D237" s="28" t="inlineStr">
        <is>
          <t>Private Equity</t>
        </is>
      </c>
      <c r="E237" s="29" t="n">
        <v>2940267.14</v>
      </c>
      <c r="F237" s="29" t="n">
        <v>3008532.41</v>
      </c>
      <c r="G237" s="29" t="n">
        <v>1187281.15</v>
      </c>
      <c r="H237" s="29" t="n">
        <v>1191662.43</v>
      </c>
      <c r="I237" s="28" t="n">
        <v>2024</v>
      </c>
      <c r="J237" s="33" t="n">
        <v>68265.27</v>
      </c>
      <c r="K237" s="30" t="n">
        <v>2.32</v>
      </c>
      <c r="L237" s="33" t="n">
        <v>4381.28</v>
      </c>
      <c r="M237" s="30" t="n">
        <v>0.37</v>
      </c>
      <c r="N237" s="29" t="n">
        <v>1752985.99</v>
      </c>
      <c r="O237" s="29" t="n">
        <v>1816869.98</v>
      </c>
      <c r="P237" s="33" t="n">
        <v>63883.99</v>
      </c>
      <c r="Q237" s="30" t="n">
        <v>59.62</v>
      </c>
      <c r="R237" s="30" t="n">
        <v>60.39</v>
      </c>
    </row>
    <row r="238">
      <c r="A238" s="25" t="inlineStr">
        <is>
          <t>Oct</t>
        </is>
      </c>
      <c r="B238" s="25" t="n">
        <v>10</v>
      </c>
      <c r="C238" s="25" t="inlineStr">
        <is>
          <t>Asia Pacific</t>
        </is>
      </c>
      <c r="D238" s="25" t="inlineStr">
        <is>
          <t>Equity Funds</t>
        </is>
      </c>
      <c r="E238" s="26" t="n">
        <v>1790437.75</v>
      </c>
      <c r="F238" s="26" t="n">
        <v>1839772.01</v>
      </c>
      <c r="G238" s="26" t="n">
        <v>849025.36</v>
      </c>
      <c r="H238" s="26" t="n">
        <v>832024.67</v>
      </c>
      <c r="I238" s="25" t="n">
        <v>2024</v>
      </c>
      <c r="J238" s="33" t="n">
        <v>49334.26</v>
      </c>
      <c r="K238" s="27" t="n">
        <v>2.76</v>
      </c>
      <c r="L238" s="32" t="n">
        <v>-17000.69</v>
      </c>
      <c r="M238" s="27" t="n">
        <v>-2</v>
      </c>
      <c r="N238" s="26" t="n">
        <v>941412.39</v>
      </c>
      <c r="O238" s="26" t="n">
        <v>1007747.34</v>
      </c>
      <c r="P238" s="33" t="n">
        <v>66334.95</v>
      </c>
      <c r="Q238" s="27" t="n">
        <v>52.58</v>
      </c>
      <c r="R238" s="27" t="n">
        <v>54.78</v>
      </c>
    </row>
    <row r="239">
      <c r="A239" s="28" t="inlineStr">
        <is>
          <t>Oct</t>
        </is>
      </c>
      <c r="B239" s="28" t="n">
        <v>10</v>
      </c>
      <c r="C239" s="28" t="inlineStr">
        <is>
          <t>Asia Pacific</t>
        </is>
      </c>
      <c r="D239" s="28" t="inlineStr">
        <is>
          <t>Fixed Income</t>
        </is>
      </c>
      <c r="E239" s="29" t="n">
        <v>3931195.52</v>
      </c>
      <c r="F239" s="29" t="n">
        <v>3523306.61</v>
      </c>
      <c r="G239" s="29" t="n">
        <v>1716778.49</v>
      </c>
      <c r="H239" s="29" t="n">
        <v>1719797.7</v>
      </c>
      <c r="I239" s="28" t="n">
        <v>2024</v>
      </c>
      <c r="J239" s="32" t="n">
        <v>-407888.91</v>
      </c>
      <c r="K239" s="30" t="n">
        <v>-10.38</v>
      </c>
      <c r="L239" s="33" t="n">
        <v>3019.21</v>
      </c>
      <c r="M239" s="30" t="n">
        <v>0.18</v>
      </c>
      <c r="N239" s="29" t="n">
        <v>2214417.03</v>
      </c>
      <c r="O239" s="29" t="n">
        <v>1803508.91</v>
      </c>
      <c r="P239" s="32" t="n">
        <v>-410908.12</v>
      </c>
      <c r="Q239" s="30" t="n">
        <v>56.33</v>
      </c>
      <c r="R239" s="30" t="n">
        <v>51.19</v>
      </c>
    </row>
    <row r="240">
      <c r="A240" s="25" t="inlineStr">
        <is>
          <t>Oct</t>
        </is>
      </c>
      <c r="B240" s="25" t="n">
        <v>10</v>
      </c>
      <c r="C240" s="25" t="inlineStr">
        <is>
          <t>Asia Pacific</t>
        </is>
      </c>
      <c r="D240" s="25" t="inlineStr">
        <is>
          <t>Real Estate</t>
        </is>
      </c>
      <c r="E240" s="26" t="n">
        <v>4842519.7</v>
      </c>
      <c r="F240" s="26" t="n">
        <v>4807810.55</v>
      </c>
      <c r="G240" s="26" t="n">
        <v>3133814.17</v>
      </c>
      <c r="H240" s="26" t="n">
        <v>3495611.33</v>
      </c>
      <c r="I240" s="25" t="n">
        <v>2024</v>
      </c>
      <c r="J240" s="32" t="n">
        <v>-34709.15</v>
      </c>
      <c r="K240" s="27" t="n">
        <v>-0.72</v>
      </c>
      <c r="L240" s="33" t="n">
        <v>361797.16</v>
      </c>
      <c r="M240" s="27" t="n">
        <v>11.54</v>
      </c>
      <c r="N240" s="26" t="n">
        <v>1708705.53</v>
      </c>
      <c r="O240" s="26" t="n">
        <v>1312199.22</v>
      </c>
      <c r="P240" s="32" t="n">
        <v>-396506.31</v>
      </c>
      <c r="Q240" s="27" t="n">
        <v>35.29</v>
      </c>
      <c r="R240" s="27" t="n">
        <v>27.29</v>
      </c>
    </row>
    <row r="241">
      <c r="A241" s="28" t="inlineStr">
        <is>
          <t>Oct</t>
        </is>
      </c>
      <c r="B241" s="28" t="n">
        <v>10</v>
      </c>
      <c r="C241" s="28" t="inlineStr">
        <is>
          <t>Asia Pacific</t>
        </is>
      </c>
      <c r="D241" s="28" t="inlineStr">
        <is>
          <t>Hedge Funds</t>
        </is>
      </c>
      <c r="E241" s="29" t="n">
        <v>1972968.17</v>
      </c>
      <c r="F241" s="29" t="n">
        <v>1899480.23</v>
      </c>
      <c r="G241" s="29" t="n">
        <v>888017.67</v>
      </c>
      <c r="H241" s="29" t="n">
        <v>915352.34</v>
      </c>
      <c r="I241" s="28" t="n">
        <v>2024</v>
      </c>
      <c r="J241" s="32" t="n">
        <v>-73487.94</v>
      </c>
      <c r="K241" s="30" t="n">
        <v>-3.72</v>
      </c>
      <c r="L241" s="33" t="n">
        <v>27334.67</v>
      </c>
      <c r="M241" s="30" t="n">
        <v>3.08</v>
      </c>
      <c r="N241" s="29" t="n">
        <v>1084950.5</v>
      </c>
      <c r="O241" s="29" t="n">
        <v>984127.89</v>
      </c>
      <c r="P241" s="32" t="n">
        <v>-100822.61</v>
      </c>
      <c r="Q241" s="30" t="n">
        <v>54.99</v>
      </c>
      <c r="R241" s="30" t="n">
        <v>51.81</v>
      </c>
    </row>
    <row r="242">
      <c r="A242" s="25" t="inlineStr">
        <is>
          <t>Oct</t>
        </is>
      </c>
      <c r="B242" s="25" t="n">
        <v>10</v>
      </c>
      <c r="C242" s="25" t="inlineStr">
        <is>
          <t>Asia Pacific</t>
        </is>
      </c>
      <c r="D242" s="25" t="inlineStr">
        <is>
          <t>Private Equity</t>
        </is>
      </c>
      <c r="E242" s="26" t="n">
        <v>3904970.56</v>
      </c>
      <c r="F242" s="26" t="n">
        <v>3477925.19</v>
      </c>
      <c r="G242" s="26" t="n">
        <v>2734184.23</v>
      </c>
      <c r="H242" s="26" t="n">
        <v>2939910.07</v>
      </c>
      <c r="I242" s="25" t="n">
        <v>2024</v>
      </c>
      <c r="J242" s="32" t="n">
        <v>-427045.37</v>
      </c>
      <c r="K242" s="27" t="n">
        <v>-10.94</v>
      </c>
      <c r="L242" s="33" t="n">
        <v>205725.84</v>
      </c>
      <c r="M242" s="27" t="n">
        <v>7.52</v>
      </c>
      <c r="N242" s="26" t="n">
        <v>1170786.33</v>
      </c>
      <c r="O242" s="26" t="n">
        <v>538015.12</v>
      </c>
      <c r="P242" s="32" t="n">
        <v>-632771.21</v>
      </c>
      <c r="Q242" s="27" t="n">
        <v>29.98</v>
      </c>
      <c r="R242" s="27" t="n">
        <v>15.47</v>
      </c>
    </row>
    <row r="243">
      <c r="A243" s="28" t="inlineStr">
        <is>
          <t>Oct</t>
        </is>
      </c>
      <c r="B243" s="28" t="n">
        <v>10</v>
      </c>
      <c r="C243" s="28" t="inlineStr">
        <is>
          <t>Latin America</t>
        </is>
      </c>
      <c r="D243" s="28" t="inlineStr">
        <is>
          <t>Equity Funds</t>
        </is>
      </c>
      <c r="E243" s="29" t="n">
        <v>1524510.92</v>
      </c>
      <c r="F243" s="29" t="n">
        <v>1596000.45</v>
      </c>
      <c r="G243" s="29" t="n">
        <v>1077460.4</v>
      </c>
      <c r="H243" s="29" t="n">
        <v>1158010.74</v>
      </c>
      <c r="I243" s="28" t="n">
        <v>2024</v>
      </c>
      <c r="J243" s="33" t="n">
        <v>71489.53</v>
      </c>
      <c r="K243" s="30" t="n">
        <v>4.69</v>
      </c>
      <c r="L243" s="33" t="n">
        <v>80550.34</v>
      </c>
      <c r="M243" s="30" t="n">
        <v>7.48</v>
      </c>
      <c r="N243" s="29" t="n">
        <v>447050.52</v>
      </c>
      <c r="O243" s="29" t="n">
        <v>437989.71</v>
      </c>
      <c r="P243" s="32" t="n">
        <v>-9060.809999999999</v>
      </c>
      <c r="Q243" s="30" t="n">
        <v>29.32</v>
      </c>
      <c r="R243" s="30" t="n">
        <v>27.44</v>
      </c>
    </row>
    <row r="244">
      <c r="A244" s="25" t="inlineStr">
        <is>
          <t>Oct</t>
        </is>
      </c>
      <c r="B244" s="25" t="n">
        <v>10</v>
      </c>
      <c r="C244" s="25" t="inlineStr">
        <is>
          <t>Latin America</t>
        </is>
      </c>
      <c r="D244" s="25" t="inlineStr">
        <is>
          <t>Fixed Income</t>
        </is>
      </c>
      <c r="E244" s="26" t="n">
        <v>1056007.82</v>
      </c>
      <c r="F244" s="26" t="n">
        <v>1003657.52</v>
      </c>
      <c r="G244" s="26" t="n">
        <v>660903.92</v>
      </c>
      <c r="H244" s="26" t="n">
        <v>613234.74</v>
      </c>
      <c r="I244" s="25" t="n">
        <v>2024</v>
      </c>
      <c r="J244" s="32" t="n">
        <v>-52350.3</v>
      </c>
      <c r="K244" s="27" t="n">
        <v>-4.96</v>
      </c>
      <c r="L244" s="32" t="n">
        <v>-47669.18</v>
      </c>
      <c r="M244" s="27" t="n">
        <v>-7.21</v>
      </c>
      <c r="N244" s="26" t="n">
        <v>395103.9</v>
      </c>
      <c r="O244" s="26" t="n">
        <v>390422.78</v>
      </c>
      <c r="P244" s="32" t="n">
        <v>-4681.12</v>
      </c>
      <c r="Q244" s="27" t="n">
        <v>37.41</v>
      </c>
      <c r="R244" s="27" t="n">
        <v>38.9</v>
      </c>
    </row>
    <row r="245">
      <c r="A245" s="28" t="inlineStr">
        <is>
          <t>Oct</t>
        </is>
      </c>
      <c r="B245" s="28" t="n">
        <v>10</v>
      </c>
      <c r="C245" s="28" t="inlineStr">
        <is>
          <t>Latin America</t>
        </is>
      </c>
      <c r="D245" s="28" t="inlineStr">
        <is>
          <t>Real Estate</t>
        </is>
      </c>
      <c r="E245" s="29" t="n">
        <v>979007.85</v>
      </c>
      <c r="F245" s="29" t="n">
        <v>1093933.04</v>
      </c>
      <c r="G245" s="29" t="n">
        <v>718626.47</v>
      </c>
      <c r="H245" s="29" t="n">
        <v>676080.41</v>
      </c>
      <c r="I245" s="28" t="n">
        <v>2024</v>
      </c>
      <c r="J245" s="33" t="n">
        <v>114925.19</v>
      </c>
      <c r="K245" s="30" t="n">
        <v>11.74</v>
      </c>
      <c r="L245" s="32" t="n">
        <v>-42546.06</v>
      </c>
      <c r="M245" s="30" t="n">
        <v>-5.92</v>
      </c>
      <c r="N245" s="29" t="n">
        <v>260381.38</v>
      </c>
      <c r="O245" s="29" t="n">
        <v>417852.63</v>
      </c>
      <c r="P245" s="33" t="n">
        <v>157471.25</v>
      </c>
      <c r="Q245" s="30" t="n">
        <v>26.6</v>
      </c>
      <c r="R245" s="30" t="n">
        <v>38.2</v>
      </c>
    </row>
    <row r="246">
      <c r="A246" s="25" t="inlineStr">
        <is>
          <t>Oct</t>
        </is>
      </c>
      <c r="B246" s="25" t="n">
        <v>10</v>
      </c>
      <c r="C246" s="25" t="inlineStr">
        <is>
          <t>Latin America</t>
        </is>
      </c>
      <c r="D246" s="25" t="inlineStr">
        <is>
          <t>Hedge Funds</t>
        </is>
      </c>
      <c r="E246" s="26" t="n">
        <v>3850436.08</v>
      </c>
      <c r="F246" s="26" t="n">
        <v>4109963.08</v>
      </c>
      <c r="G246" s="26" t="n">
        <v>2158091.68</v>
      </c>
      <c r="H246" s="26" t="n">
        <v>2071038.42</v>
      </c>
      <c r="I246" s="25" t="n">
        <v>2024</v>
      </c>
      <c r="J246" s="33" t="n">
        <v>259527</v>
      </c>
      <c r="K246" s="27" t="n">
        <v>6.74</v>
      </c>
      <c r="L246" s="32" t="n">
        <v>-87053.25999999999</v>
      </c>
      <c r="M246" s="27" t="n">
        <v>-4.03</v>
      </c>
      <c r="N246" s="26" t="n">
        <v>1692344.4</v>
      </c>
      <c r="O246" s="26" t="n">
        <v>2038924.66</v>
      </c>
      <c r="P246" s="33" t="n">
        <v>346580.26</v>
      </c>
      <c r="Q246" s="27" t="n">
        <v>43.95</v>
      </c>
      <c r="R246" s="27" t="n">
        <v>49.61</v>
      </c>
    </row>
    <row r="247">
      <c r="A247" s="28" t="inlineStr">
        <is>
          <t>Oct</t>
        </is>
      </c>
      <c r="B247" s="28" t="n">
        <v>10</v>
      </c>
      <c r="C247" s="28" t="inlineStr">
        <is>
          <t>Latin America</t>
        </is>
      </c>
      <c r="D247" s="28" t="inlineStr">
        <is>
          <t>Private Equity</t>
        </is>
      </c>
      <c r="E247" s="29" t="n">
        <v>1425837.2</v>
      </c>
      <c r="F247" s="29" t="n">
        <v>1509097.32</v>
      </c>
      <c r="G247" s="29" t="n">
        <v>799811.0600000001</v>
      </c>
      <c r="H247" s="29" t="n">
        <v>778052</v>
      </c>
      <c r="I247" s="28" t="n">
        <v>2024</v>
      </c>
      <c r="J247" s="33" t="n">
        <v>83260.12</v>
      </c>
      <c r="K247" s="30" t="n">
        <v>5.84</v>
      </c>
      <c r="L247" s="32" t="n">
        <v>-21759.06</v>
      </c>
      <c r="M247" s="30" t="n">
        <v>-2.72</v>
      </c>
      <c r="N247" s="29" t="n">
        <v>626026.14</v>
      </c>
      <c r="O247" s="29" t="n">
        <v>731045.3199999999</v>
      </c>
      <c r="P247" s="33" t="n">
        <v>105019.18</v>
      </c>
      <c r="Q247" s="30" t="n">
        <v>43.91</v>
      </c>
      <c r="R247" s="30" t="n">
        <v>48.44</v>
      </c>
    </row>
    <row r="248">
      <c r="A248" s="25" t="inlineStr">
        <is>
          <t>Oct</t>
        </is>
      </c>
      <c r="B248" s="25" t="n">
        <v>10</v>
      </c>
      <c r="C248" s="25" t="inlineStr">
        <is>
          <t>Middle East</t>
        </is>
      </c>
      <c r="D248" s="25" t="inlineStr">
        <is>
          <t>Equity Funds</t>
        </is>
      </c>
      <c r="E248" s="26" t="n">
        <v>4887217.11</v>
      </c>
      <c r="F248" s="26" t="n">
        <v>5384904.48</v>
      </c>
      <c r="G248" s="26" t="n">
        <v>2939502.74</v>
      </c>
      <c r="H248" s="26" t="n">
        <v>3151956.89</v>
      </c>
      <c r="I248" s="25" t="n">
        <v>2024</v>
      </c>
      <c r="J248" s="33" t="n">
        <v>497687.37</v>
      </c>
      <c r="K248" s="27" t="n">
        <v>10.18</v>
      </c>
      <c r="L248" s="33" t="n">
        <v>212454.15</v>
      </c>
      <c r="M248" s="27" t="n">
        <v>7.23</v>
      </c>
      <c r="N248" s="26" t="n">
        <v>1947714.37</v>
      </c>
      <c r="O248" s="26" t="n">
        <v>2232947.59</v>
      </c>
      <c r="P248" s="33" t="n">
        <v>285233.22</v>
      </c>
      <c r="Q248" s="27" t="n">
        <v>39.85</v>
      </c>
      <c r="R248" s="27" t="n">
        <v>41.47</v>
      </c>
    </row>
    <row r="249">
      <c r="A249" s="28" t="inlineStr">
        <is>
          <t>Oct</t>
        </is>
      </c>
      <c r="B249" s="28" t="n">
        <v>10</v>
      </c>
      <c r="C249" s="28" t="inlineStr">
        <is>
          <t>Middle East</t>
        </is>
      </c>
      <c r="D249" s="28" t="inlineStr">
        <is>
          <t>Fixed Income</t>
        </is>
      </c>
      <c r="E249" s="29" t="n">
        <v>3932707.27</v>
      </c>
      <c r="F249" s="29" t="n">
        <v>4236949</v>
      </c>
      <c r="G249" s="29" t="n">
        <v>1842035.08</v>
      </c>
      <c r="H249" s="29" t="n">
        <v>1762994.72</v>
      </c>
      <c r="I249" s="28" t="n">
        <v>2024</v>
      </c>
      <c r="J249" s="33" t="n">
        <v>304241.73</v>
      </c>
      <c r="K249" s="30" t="n">
        <v>7.74</v>
      </c>
      <c r="L249" s="32" t="n">
        <v>-79040.36</v>
      </c>
      <c r="M249" s="30" t="n">
        <v>-4.29</v>
      </c>
      <c r="N249" s="29" t="n">
        <v>2090672.19</v>
      </c>
      <c r="O249" s="29" t="n">
        <v>2473954.28</v>
      </c>
      <c r="P249" s="33" t="n">
        <v>383282.09</v>
      </c>
      <c r="Q249" s="30" t="n">
        <v>53.16</v>
      </c>
      <c r="R249" s="30" t="n">
        <v>58.39</v>
      </c>
    </row>
    <row r="250">
      <c r="A250" s="25" t="inlineStr">
        <is>
          <t>Oct</t>
        </is>
      </c>
      <c r="B250" s="25" t="n">
        <v>10</v>
      </c>
      <c r="C250" s="25" t="inlineStr">
        <is>
          <t>Middle East</t>
        </is>
      </c>
      <c r="D250" s="25" t="inlineStr">
        <is>
          <t>Real Estate</t>
        </is>
      </c>
      <c r="E250" s="26" t="n">
        <v>1092314.08</v>
      </c>
      <c r="F250" s="26" t="n">
        <v>1119216.89</v>
      </c>
      <c r="G250" s="26" t="n">
        <v>725743.89</v>
      </c>
      <c r="H250" s="26" t="n">
        <v>758796.85</v>
      </c>
      <c r="I250" s="25" t="n">
        <v>2024</v>
      </c>
      <c r="J250" s="33" t="n">
        <v>26902.81</v>
      </c>
      <c r="K250" s="27" t="n">
        <v>2.46</v>
      </c>
      <c r="L250" s="33" t="n">
        <v>33052.96</v>
      </c>
      <c r="M250" s="27" t="n">
        <v>4.55</v>
      </c>
      <c r="N250" s="26" t="n">
        <v>366570.19</v>
      </c>
      <c r="O250" s="26" t="n">
        <v>360420.04</v>
      </c>
      <c r="P250" s="32" t="n">
        <v>-6150.15</v>
      </c>
      <c r="Q250" s="27" t="n">
        <v>33.56</v>
      </c>
      <c r="R250" s="27" t="n">
        <v>32.2</v>
      </c>
    </row>
    <row r="251">
      <c r="A251" s="28" t="inlineStr">
        <is>
          <t>Oct</t>
        </is>
      </c>
      <c r="B251" s="28" t="n">
        <v>10</v>
      </c>
      <c r="C251" s="28" t="inlineStr">
        <is>
          <t>Middle East</t>
        </is>
      </c>
      <c r="D251" s="28" t="inlineStr">
        <is>
          <t>Hedge Funds</t>
        </is>
      </c>
      <c r="E251" s="29" t="n">
        <v>2444975.06</v>
      </c>
      <c r="F251" s="29" t="n">
        <v>2358457.75</v>
      </c>
      <c r="G251" s="29" t="n">
        <v>1158295.63</v>
      </c>
      <c r="H251" s="29" t="n">
        <v>1095624.06</v>
      </c>
      <c r="I251" s="28" t="n">
        <v>2024</v>
      </c>
      <c r="J251" s="32" t="n">
        <v>-86517.31</v>
      </c>
      <c r="K251" s="30" t="n">
        <v>-3.54</v>
      </c>
      <c r="L251" s="32" t="n">
        <v>-62671.57</v>
      </c>
      <c r="M251" s="30" t="n">
        <v>-5.41</v>
      </c>
      <c r="N251" s="29" t="n">
        <v>1286679.43</v>
      </c>
      <c r="O251" s="29" t="n">
        <v>1262833.69</v>
      </c>
      <c r="P251" s="32" t="n">
        <v>-23845.74</v>
      </c>
      <c r="Q251" s="30" t="n">
        <v>52.63</v>
      </c>
      <c r="R251" s="30" t="n">
        <v>53.54</v>
      </c>
    </row>
    <row r="252">
      <c r="A252" s="25" t="inlineStr">
        <is>
          <t>Oct</t>
        </is>
      </c>
      <c r="B252" s="25" t="n">
        <v>10</v>
      </c>
      <c r="C252" s="25" t="inlineStr">
        <is>
          <t>Middle East</t>
        </is>
      </c>
      <c r="D252" s="25" t="inlineStr">
        <is>
          <t>Private Equity</t>
        </is>
      </c>
      <c r="E252" s="26" t="n">
        <v>4498285.31</v>
      </c>
      <c r="F252" s="26" t="n">
        <v>4646742.26</v>
      </c>
      <c r="G252" s="26" t="n">
        <v>3511557.22</v>
      </c>
      <c r="H252" s="26" t="n">
        <v>3765313</v>
      </c>
      <c r="I252" s="25" t="n">
        <v>2024</v>
      </c>
      <c r="J252" s="33" t="n">
        <v>148456.95</v>
      </c>
      <c r="K252" s="27" t="n">
        <v>3.3</v>
      </c>
      <c r="L252" s="33" t="n">
        <v>253755.78</v>
      </c>
      <c r="M252" s="27" t="n">
        <v>7.23</v>
      </c>
      <c r="N252" s="26" t="n">
        <v>986728.09</v>
      </c>
      <c r="O252" s="26" t="n">
        <v>881429.26</v>
      </c>
      <c r="P252" s="32" t="n">
        <v>-105298.83</v>
      </c>
      <c r="Q252" s="27" t="n">
        <v>21.94</v>
      </c>
      <c r="R252" s="27" t="n">
        <v>18.97</v>
      </c>
    </row>
    <row r="253">
      <c r="A253" s="28" t="inlineStr">
        <is>
          <t>Nov</t>
        </is>
      </c>
      <c r="B253" s="28" t="n">
        <v>11</v>
      </c>
      <c r="C253" s="28" t="inlineStr">
        <is>
          <t>North America</t>
        </is>
      </c>
      <c r="D253" s="28" t="inlineStr">
        <is>
          <t>Equity Funds</t>
        </is>
      </c>
      <c r="E253" s="29" t="n">
        <v>3392501.76</v>
      </c>
      <c r="F253" s="29" t="n">
        <v>3480087.66</v>
      </c>
      <c r="G253" s="29" t="n">
        <v>2839653.59</v>
      </c>
      <c r="H253" s="29" t="n">
        <v>2522611.24</v>
      </c>
      <c r="I253" s="28" t="n">
        <v>2024</v>
      </c>
      <c r="J253" s="33" t="n">
        <v>87585.89999999999</v>
      </c>
      <c r="K253" s="30" t="n">
        <v>2.58</v>
      </c>
      <c r="L253" s="32" t="n">
        <v>-317042.35</v>
      </c>
      <c r="M253" s="30" t="n">
        <v>-11.16</v>
      </c>
      <c r="N253" s="29" t="n">
        <v>552848.17</v>
      </c>
      <c r="O253" s="29" t="n">
        <v>957476.42</v>
      </c>
      <c r="P253" s="33" t="n">
        <v>404628.25</v>
      </c>
      <c r="Q253" s="30" t="n">
        <v>16.3</v>
      </c>
      <c r="R253" s="30" t="n">
        <v>27.51</v>
      </c>
    </row>
    <row r="254">
      <c r="A254" s="25" t="inlineStr">
        <is>
          <t>Nov</t>
        </is>
      </c>
      <c r="B254" s="25" t="n">
        <v>11</v>
      </c>
      <c r="C254" s="25" t="inlineStr">
        <is>
          <t>North America</t>
        </is>
      </c>
      <c r="D254" s="25" t="inlineStr">
        <is>
          <t>Fixed Income</t>
        </is>
      </c>
      <c r="E254" s="26" t="n">
        <v>1053443.44</v>
      </c>
      <c r="F254" s="26" t="n">
        <v>1023825.94</v>
      </c>
      <c r="G254" s="26" t="n">
        <v>749816.33</v>
      </c>
      <c r="H254" s="26" t="n">
        <v>768728.77</v>
      </c>
      <c r="I254" s="25" t="n">
        <v>2024</v>
      </c>
      <c r="J254" s="32" t="n">
        <v>-29617.5</v>
      </c>
      <c r="K254" s="27" t="n">
        <v>-2.81</v>
      </c>
      <c r="L254" s="33" t="n">
        <v>18912.44</v>
      </c>
      <c r="M254" s="27" t="n">
        <v>2.52</v>
      </c>
      <c r="N254" s="26" t="n">
        <v>303627.11</v>
      </c>
      <c r="O254" s="26" t="n">
        <v>255097.17</v>
      </c>
      <c r="P254" s="32" t="n">
        <v>-48529.94</v>
      </c>
      <c r="Q254" s="27" t="n">
        <v>28.82</v>
      </c>
      <c r="R254" s="27" t="n">
        <v>24.92</v>
      </c>
    </row>
    <row r="255">
      <c r="A255" s="28" t="inlineStr">
        <is>
          <t>Nov</t>
        </is>
      </c>
      <c r="B255" s="28" t="n">
        <v>11</v>
      </c>
      <c r="C255" s="28" t="inlineStr">
        <is>
          <t>North America</t>
        </is>
      </c>
      <c r="D255" s="28" t="inlineStr">
        <is>
          <t>Real Estate</t>
        </is>
      </c>
      <c r="E255" s="29" t="n">
        <v>3558577.66</v>
      </c>
      <c r="F255" s="29" t="n">
        <v>3783267.23</v>
      </c>
      <c r="G255" s="29" t="n">
        <v>2722641.67</v>
      </c>
      <c r="H255" s="29" t="n">
        <v>2741891.76</v>
      </c>
      <c r="I255" s="28" t="n">
        <v>2024</v>
      </c>
      <c r="J255" s="33" t="n">
        <v>224689.57</v>
      </c>
      <c r="K255" s="30" t="n">
        <v>6.31</v>
      </c>
      <c r="L255" s="33" t="n">
        <v>19250.09</v>
      </c>
      <c r="M255" s="30" t="n">
        <v>0.71</v>
      </c>
      <c r="N255" s="29" t="n">
        <v>835935.99</v>
      </c>
      <c r="O255" s="29" t="n">
        <v>1041375.47</v>
      </c>
      <c r="P255" s="33" t="n">
        <v>205439.48</v>
      </c>
      <c r="Q255" s="30" t="n">
        <v>23.49</v>
      </c>
      <c r="R255" s="30" t="n">
        <v>27.53</v>
      </c>
    </row>
    <row r="256">
      <c r="A256" s="25" t="inlineStr">
        <is>
          <t>Nov</t>
        </is>
      </c>
      <c r="B256" s="25" t="n">
        <v>11</v>
      </c>
      <c r="C256" s="25" t="inlineStr">
        <is>
          <t>North America</t>
        </is>
      </c>
      <c r="D256" s="25" t="inlineStr">
        <is>
          <t>Hedge Funds</t>
        </is>
      </c>
      <c r="E256" s="26" t="n">
        <v>2347963.86</v>
      </c>
      <c r="F256" s="26" t="n">
        <v>2130137.77</v>
      </c>
      <c r="G256" s="26" t="n">
        <v>1669079.22</v>
      </c>
      <c r="H256" s="26" t="n">
        <v>1668696.25</v>
      </c>
      <c r="I256" s="25" t="n">
        <v>2024</v>
      </c>
      <c r="J256" s="32" t="n">
        <v>-217826.09</v>
      </c>
      <c r="K256" s="27" t="n">
        <v>-9.279999999999999</v>
      </c>
      <c r="L256" s="32" t="n">
        <v>-382.97</v>
      </c>
      <c r="M256" s="27" t="n">
        <v>-0.02</v>
      </c>
      <c r="N256" s="26" t="n">
        <v>678884.64</v>
      </c>
      <c r="O256" s="26" t="n">
        <v>461441.52</v>
      </c>
      <c r="P256" s="32" t="n">
        <v>-217443.12</v>
      </c>
      <c r="Q256" s="27" t="n">
        <v>28.91</v>
      </c>
      <c r="R256" s="27" t="n">
        <v>21.66</v>
      </c>
    </row>
    <row r="257">
      <c r="A257" s="28" t="inlineStr">
        <is>
          <t>Nov</t>
        </is>
      </c>
      <c r="B257" s="28" t="n">
        <v>11</v>
      </c>
      <c r="C257" s="28" t="inlineStr">
        <is>
          <t>North America</t>
        </is>
      </c>
      <c r="D257" s="28" t="inlineStr">
        <is>
          <t>Private Equity</t>
        </is>
      </c>
      <c r="E257" s="29" t="n">
        <v>2309792.15</v>
      </c>
      <c r="F257" s="29" t="n">
        <v>2176908.76</v>
      </c>
      <c r="G257" s="29" t="n">
        <v>1483962.57</v>
      </c>
      <c r="H257" s="29" t="n">
        <v>1660743.51</v>
      </c>
      <c r="I257" s="28" t="n">
        <v>2024</v>
      </c>
      <c r="J257" s="32" t="n">
        <v>-132883.39</v>
      </c>
      <c r="K257" s="30" t="n">
        <v>-5.75</v>
      </c>
      <c r="L257" s="33" t="n">
        <v>176780.94</v>
      </c>
      <c r="M257" s="30" t="n">
        <v>11.91</v>
      </c>
      <c r="N257" s="29" t="n">
        <v>825829.58</v>
      </c>
      <c r="O257" s="29" t="n">
        <v>516165.25</v>
      </c>
      <c r="P257" s="32" t="n">
        <v>-309664.33</v>
      </c>
      <c r="Q257" s="30" t="n">
        <v>35.75</v>
      </c>
      <c r="R257" s="30" t="n">
        <v>23.71</v>
      </c>
    </row>
    <row r="258">
      <c r="A258" s="25" t="inlineStr">
        <is>
          <t>Nov</t>
        </is>
      </c>
      <c r="B258" s="25" t="n">
        <v>11</v>
      </c>
      <c r="C258" s="25" t="inlineStr">
        <is>
          <t>Europe</t>
        </is>
      </c>
      <c r="D258" s="25" t="inlineStr">
        <is>
          <t>Equity Funds</t>
        </is>
      </c>
      <c r="E258" s="26" t="n">
        <v>1995903.98</v>
      </c>
      <c r="F258" s="26" t="n">
        <v>1815140.91</v>
      </c>
      <c r="G258" s="26" t="n">
        <v>1551751.12</v>
      </c>
      <c r="H258" s="26" t="n">
        <v>1533890.84</v>
      </c>
      <c r="I258" s="25" t="n">
        <v>2024</v>
      </c>
      <c r="J258" s="32" t="n">
        <v>-180763.07</v>
      </c>
      <c r="K258" s="27" t="n">
        <v>-9.06</v>
      </c>
      <c r="L258" s="32" t="n">
        <v>-17860.28</v>
      </c>
      <c r="M258" s="27" t="n">
        <v>-1.15</v>
      </c>
      <c r="N258" s="26" t="n">
        <v>444152.86</v>
      </c>
      <c r="O258" s="26" t="n">
        <v>281250.07</v>
      </c>
      <c r="P258" s="32" t="n">
        <v>-162902.79</v>
      </c>
      <c r="Q258" s="27" t="n">
        <v>22.25</v>
      </c>
      <c r="R258" s="27" t="n">
        <v>15.49</v>
      </c>
    </row>
    <row r="259">
      <c r="A259" s="28" t="inlineStr">
        <is>
          <t>Nov</t>
        </is>
      </c>
      <c r="B259" s="28" t="n">
        <v>11</v>
      </c>
      <c r="C259" s="28" t="inlineStr">
        <is>
          <t>Europe</t>
        </is>
      </c>
      <c r="D259" s="28" t="inlineStr">
        <is>
          <t>Fixed Income</t>
        </is>
      </c>
      <c r="E259" s="29" t="n">
        <v>4197325.64</v>
      </c>
      <c r="F259" s="29" t="n">
        <v>4380593.56</v>
      </c>
      <c r="G259" s="29" t="n">
        <v>2853808.38</v>
      </c>
      <c r="H259" s="29" t="n">
        <v>2730241.52</v>
      </c>
      <c r="I259" s="28" t="n">
        <v>2024</v>
      </c>
      <c r="J259" s="33" t="n">
        <v>183267.92</v>
      </c>
      <c r="K259" s="30" t="n">
        <v>4.37</v>
      </c>
      <c r="L259" s="32" t="n">
        <v>-123566.86</v>
      </c>
      <c r="M259" s="30" t="n">
        <v>-4.33</v>
      </c>
      <c r="N259" s="29" t="n">
        <v>1343517.26</v>
      </c>
      <c r="O259" s="29" t="n">
        <v>1650352.04</v>
      </c>
      <c r="P259" s="33" t="n">
        <v>306834.78</v>
      </c>
      <c r="Q259" s="30" t="n">
        <v>32.01</v>
      </c>
      <c r="R259" s="30" t="n">
        <v>37.67</v>
      </c>
    </row>
    <row r="260">
      <c r="A260" s="25" t="inlineStr">
        <is>
          <t>Nov</t>
        </is>
      </c>
      <c r="B260" s="25" t="n">
        <v>11</v>
      </c>
      <c r="C260" s="25" t="inlineStr">
        <is>
          <t>Europe</t>
        </is>
      </c>
      <c r="D260" s="25" t="inlineStr">
        <is>
          <t>Real Estate</t>
        </is>
      </c>
      <c r="E260" s="26" t="n">
        <v>2278240.83</v>
      </c>
      <c r="F260" s="26" t="n">
        <v>2492212.31</v>
      </c>
      <c r="G260" s="26" t="n">
        <v>1135180.84</v>
      </c>
      <c r="H260" s="26" t="n">
        <v>1192886.83</v>
      </c>
      <c r="I260" s="25" t="n">
        <v>2024</v>
      </c>
      <c r="J260" s="33" t="n">
        <v>213971.48</v>
      </c>
      <c r="K260" s="27" t="n">
        <v>9.390000000000001</v>
      </c>
      <c r="L260" s="33" t="n">
        <v>57705.99</v>
      </c>
      <c r="M260" s="27" t="n">
        <v>5.08</v>
      </c>
      <c r="N260" s="26" t="n">
        <v>1143059.99</v>
      </c>
      <c r="O260" s="26" t="n">
        <v>1299325.48</v>
      </c>
      <c r="P260" s="33" t="n">
        <v>156265.49</v>
      </c>
      <c r="Q260" s="27" t="n">
        <v>50.17</v>
      </c>
      <c r="R260" s="27" t="n">
        <v>52.14</v>
      </c>
    </row>
    <row r="261">
      <c r="A261" s="28" t="inlineStr">
        <is>
          <t>Nov</t>
        </is>
      </c>
      <c r="B261" s="28" t="n">
        <v>11</v>
      </c>
      <c r="C261" s="28" t="inlineStr">
        <is>
          <t>Europe</t>
        </is>
      </c>
      <c r="D261" s="28" t="inlineStr">
        <is>
          <t>Hedge Funds</t>
        </is>
      </c>
      <c r="E261" s="29" t="n">
        <v>4970529.68</v>
      </c>
      <c r="F261" s="29" t="n">
        <v>4980974.65</v>
      </c>
      <c r="G261" s="29" t="n">
        <v>2782798.05</v>
      </c>
      <c r="H261" s="29" t="n">
        <v>2583091.35</v>
      </c>
      <c r="I261" s="28" t="n">
        <v>2024</v>
      </c>
      <c r="J261" s="33" t="n">
        <v>10444.97</v>
      </c>
      <c r="K261" s="30" t="n">
        <v>0.21</v>
      </c>
      <c r="L261" s="32" t="n">
        <v>-199706.7</v>
      </c>
      <c r="M261" s="30" t="n">
        <v>-7.18</v>
      </c>
      <c r="N261" s="29" t="n">
        <v>2187731.63</v>
      </c>
      <c r="O261" s="29" t="n">
        <v>2397883.3</v>
      </c>
      <c r="P261" s="33" t="n">
        <v>210151.67</v>
      </c>
      <c r="Q261" s="30" t="n">
        <v>44.01</v>
      </c>
      <c r="R261" s="30" t="n">
        <v>48.14</v>
      </c>
    </row>
    <row r="262">
      <c r="A262" s="25" t="inlineStr">
        <is>
          <t>Nov</t>
        </is>
      </c>
      <c r="B262" s="25" t="n">
        <v>11</v>
      </c>
      <c r="C262" s="25" t="inlineStr">
        <is>
          <t>Europe</t>
        </is>
      </c>
      <c r="D262" s="25" t="inlineStr">
        <is>
          <t>Private Equity</t>
        </is>
      </c>
      <c r="E262" s="26" t="n">
        <v>1252226.23</v>
      </c>
      <c r="F262" s="26" t="n">
        <v>1268461.52</v>
      </c>
      <c r="G262" s="26" t="n">
        <v>925550.9399999999</v>
      </c>
      <c r="H262" s="26" t="n">
        <v>993004</v>
      </c>
      <c r="I262" s="25" t="n">
        <v>2024</v>
      </c>
      <c r="J262" s="33" t="n">
        <v>16235.29</v>
      </c>
      <c r="K262" s="27" t="n">
        <v>1.3</v>
      </c>
      <c r="L262" s="33" t="n">
        <v>67453.06</v>
      </c>
      <c r="M262" s="27" t="n">
        <v>7.29</v>
      </c>
      <c r="N262" s="26" t="n">
        <v>326675.29</v>
      </c>
      <c r="O262" s="26" t="n">
        <v>275457.52</v>
      </c>
      <c r="P262" s="32" t="n">
        <v>-51217.77</v>
      </c>
      <c r="Q262" s="27" t="n">
        <v>26.09</v>
      </c>
      <c r="R262" s="27" t="n">
        <v>21.72</v>
      </c>
    </row>
    <row r="263">
      <c r="A263" s="28" t="inlineStr">
        <is>
          <t>Nov</t>
        </is>
      </c>
      <c r="B263" s="28" t="n">
        <v>11</v>
      </c>
      <c r="C263" s="28" t="inlineStr">
        <is>
          <t>Asia Pacific</t>
        </is>
      </c>
      <c r="D263" s="28" t="inlineStr">
        <is>
          <t>Equity Funds</t>
        </is>
      </c>
      <c r="E263" s="29" t="n">
        <v>2858970.71</v>
      </c>
      <c r="F263" s="29" t="n">
        <v>2728114.97</v>
      </c>
      <c r="G263" s="29" t="n">
        <v>2172153.5</v>
      </c>
      <c r="H263" s="29" t="n">
        <v>2286253.94</v>
      </c>
      <c r="I263" s="28" t="n">
        <v>2024</v>
      </c>
      <c r="J263" s="32" t="n">
        <v>-130855.74</v>
      </c>
      <c r="K263" s="30" t="n">
        <v>-4.58</v>
      </c>
      <c r="L263" s="33" t="n">
        <v>114100.44</v>
      </c>
      <c r="M263" s="30" t="n">
        <v>5.25</v>
      </c>
      <c r="N263" s="29" t="n">
        <v>686817.21</v>
      </c>
      <c r="O263" s="29" t="n">
        <v>441861.03</v>
      </c>
      <c r="P263" s="32" t="n">
        <v>-244956.18</v>
      </c>
      <c r="Q263" s="30" t="n">
        <v>24.02</v>
      </c>
      <c r="R263" s="30" t="n">
        <v>16.2</v>
      </c>
    </row>
    <row r="264">
      <c r="A264" s="25" t="inlineStr">
        <is>
          <t>Nov</t>
        </is>
      </c>
      <c r="B264" s="25" t="n">
        <v>11</v>
      </c>
      <c r="C264" s="25" t="inlineStr">
        <is>
          <t>Asia Pacific</t>
        </is>
      </c>
      <c r="D264" s="25" t="inlineStr">
        <is>
          <t>Fixed Income</t>
        </is>
      </c>
      <c r="E264" s="26" t="n">
        <v>3202437.67</v>
      </c>
      <c r="F264" s="26" t="n">
        <v>2874828.84</v>
      </c>
      <c r="G264" s="26" t="n">
        <v>2241093.63</v>
      </c>
      <c r="H264" s="26" t="n">
        <v>2317652.22</v>
      </c>
      <c r="I264" s="25" t="n">
        <v>2024</v>
      </c>
      <c r="J264" s="32" t="n">
        <v>-327608.83</v>
      </c>
      <c r="K264" s="27" t="n">
        <v>-10.23</v>
      </c>
      <c r="L264" s="33" t="n">
        <v>76558.59</v>
      </c>
      <c r="M264" s="27" t="n">
        <v>3.42</v>
      </c>
      <c r="N264" s="26" t="n">
        <v>961344.04</v>
      </c>
      <c r="O264" s="26" t="n">
        <v>557176.62</v>
      </c>
      <c r="P264" s="32" t="n">
        <v>-404167.42</v>
      </c>
      <c r="Q264" s="27" t="n">
        <v>30.02</v>
      </c>
      <c r="R264" s="27" t="n">
        <v>19.38</v>
      </c>
    </row>
    <row r="265">
      <c r="A265" s="28" t="inlineStr">
        <is>
          <t>Nov</t>
        </is>
      </c>
      <c r="B265" s="28" t="n">
        <v>11</v>
      </c>
      <c r="C265" s="28" t="inlineStr">
        <is>
          <t>Asia Pacific</t>
        </is>
      </c>
      <c r="D265" s="28" t="inlineStr">
        <is>
          <t>Real Estate</t>
        </is>
      </c>
      <c r="E265" s="29" t="n">
        <v>2606245.16</v>
      </c>
      <c r="F265" s="29" t="n">
        <v>2842658.8</v>
      </c>
      <c r="G265" s="29" t="n">
        <v>1857889.97</v>
      </c>
      <c r="H265" s="29" t="n">
        <v>1920223.19</v>
      </c>
      <c r="I265" s="28" t="n">
        <v>2024</v>
      </c>
      <c r="J265" s="33" t="n">
        <v>236413.64</v>
      </c>
      <c r="K265" s="30" t="n">
        <v>9.07</v>
      </c>
      <c r="L265" s="33" t="n">
        <v>62333.22</v>
      </c>
      <c r="M265" s="30" t="n">
        <v>3.36</v>
      </c>
      <c r="N265" s="29" t="n">
        <v>748355.1899999999</v>
      </c>
      <c r="O265" s="29" t="n">
        <v>922435.61</v>
      </c>
      <c r="P265" s="33" t="n">
        <v>174080.42</v>
      </c>
      <c r="Q265" s="30" t="n">
        <v>28.71</v>
      </c>
      <c r="R265" s="30" t="n">
        <v>32.45</v>
      </c>
    </row>
    <row r="266">
      <c r="A266" s="25" t="inlineStr">
        <is>
          <t>Nov</t>
        </is>
      </c>
      <c r="B266" s="25" t="n">
        <v>11</v>
      </c>
      <c r="C266" s="25" t="inlineStr">
        <is>
          <t>Asia Pacific</t>
        </is>
      </c>
      <c r="D266" s="25" t="inlineStr">
        <is>
          <t>Hedge Funds</t>
        </is>
      </c>
      <c r="E266" s="26" t="n">
        <v>1543164.87</v>
      </c>
      <c r="F266" s="26" t="n">
        <v>1695276.09</v>
      </c>
      <c r="G266" s="26" t="n">
        <v>1054443.92</v>
      </c>
      <c r="H266" s="26" t="n">
        <v>959331.67</v>
      </c>
      <c r="I266" s="25" t="n">
        <v>2024</v>
      </c>
      <c r="J266" s="33" t="n">
        <v>152111.22</v>
      </c>
      <c r="K266" s="27" t="n">
        <v>9.859999999999999</v>
      </c>
      <c r="L266" s="32" t="n">
        <v>-95112.25</v>
      </c>
      <c r="M266" s="27" t="n">
        <v>-9.02</v>
      </c>
      <c r="N266" s="26" t="n">
        <v>488720.95</v>
      </c>
      <c r="O266" s="26" t="n">
        <v>735944.42</v>
      </c>
      <c r="P266" s="33" t="n">
        <v>247223.47</v>
      </c>
      <c r="Q266" s="27" t="n">
        <v>31.67</v>
      </c>
      <c r="R266" s="27" t="n">
        <v>43.41</v>
      </c>
    </row>
    <row r="267">
      <c r="A267" s="28" t="inlineStr">
        <is>
          <t>Nov</t>
        </is>
      </c>
      <c r="B267" s="28" t="n">
        <v>11</v>
      </c>
      <c r="C267" s="28" t="inlineStr">
        <is>
          <t>Asia Pacific</t>
        </is>
      </c>
      <c r="D267" s="28" t="inlineStr">
        <is>
          <t>Private Equity</t>
        </is>
      </c>
      <c r="E267" s="29" t="n">
        <v>1391496.74</v>
      </c>
      <c r="F267" s="29" t="n">
        <v>1461405.14</v>
      </c>
      <c r="G267" s="29" t="n">
        <v>698275.8100000001</v>
      </c>
      <c r="H267" s="29" t="n">
        <v>772165.24</v>
      </c>
      <c r="I267" s="28" t="n">
        <v>2024</v>
      </c>
      <c r="J267" s="33" t="n">
        <v>69908.39999999999</v>
      </c>
      <c r="K267" s="30" t="n">
        <v>5.02</v>
      </c>
      <c r="L267" s="33" t="n">
        <v>73889.42999999999</v>
      </c>
      <c r="M267" s="30" t="n">
        <v>10.58</v>
      </c>
      <c r="N267" s="29" t="n">
        <v>693220.9300000001</v>
      </c>
      <c r="O267" s="29" t="n">
        <v>689239.9</v>
      </c>
      <c r="P267" s="32" t="n">
        <v>-3981.03</v>
      </c>
      <c r="Q267" s="30" t="n">
        <v>49.82</v>
      </c>
      <c r="R267" s="30" t="n">
        <v>47.16</v>
      </c>
    </row>
    <row r="268">
      <c r="A268" s="25" t="inlineStr">
        <is>
          <t>Nov</t>
        </is>
      </c>
      <c r="B268" s="25" t="n">
        <v>11</v>
      </c>
      <c r="C268" s="25" t="inlineStr">
        <is>
          <t>Latin America</t>
        </is>
      </c>
      <c r="D268" s="25" t="inlineStr">
        <is>
          <t>Equity Funds</t>
        </is>
      </c>
      <c r="E268" s="26" t="n">
        <v>4331306.29</v>
      </c>
      <c r="F268" s="26" t="n">
        <v>4471699.96</v>
      </c>
      <c r="G268" s="26" t="n">
        <v>3240937.6</v>
      </c>
      <c r="H268" s="26" t="n">
        <v>2949385.68</v>
      </c>
      <c r="I268" s="25" t="n">
        <v>2024</v>
      </c>
      <c r="J268" s="33" t="n">
        <v>140393.67</v>
      </c>
      <c r="K268" s="27" t="n">
        <v>3.24</v>
      </c>
      <c r="L268" s="32" t="n">
        <v>-291551.92</v>
      </c>
      <c r="M268" s="27" t="n">
        <v>-9</v>
      </c>
      <c r="N268" s="26" t="n">
        <v>1090368.69</v>
      </c>
      <c r="O268" s="26" t="n">
        <v>1522314.28</v>
      </c>
      <c r="P268" s="33" t="n">
        <v>431945.59</v>
      </c>
      <c r="Q268" s="27" t="n">
        <v>25.17</v>
      </c>
      <c r="R268" s="27" t="n">
        <v>34.04</v>
      </c>
    </row>
    <row r="269">
      <c r="A269" s="28" t="inlineStr">
        <is>
          <t>Nov</t>
        </is>
      </c>
      <c r="B269" s="28" t="n">
        <v>11</v>
      </c>
      <c r="C269" s="28" t="inlineStr">
        <is>
          <t>Latin America</t>
        </is>
      </c>
      <c r="D269" s="28" t="inlineStr">
        <is>
          <t>Fixed Income</t>
        </is>
      </c>
      <c r="E269" s="29" t="n">
        <v>2072929.59</v>
      </c>
      <c r="F269" s="29" t="n">
        <v>1908074.92</v>
      </c>
      <c r="G269" s="29" t="n">
        <v>1375558.34</v>
      </c>
      <c r="H269" s="29" t="n">
        <v>1261396.11</v>
      </c>
      <c r="I269" s="28" t="n">
        <v>2024</v>
      </c>
      <c r="J269" s="32" t="n">
        <v>-164854.67</v>
      </c>
      <c r="K269" s="30" t="n">
        <v>-7.95</v>
      </c>
      <c r="L269" s="32" t="n">
        <v>-114162.23</v>
      </c>
      <c r="M269" s="30" t="n">
        <v>-8.300000000000001</v>
      </c>
      <c r="N269" s="29" t="n">
        <v>697371.25</v>
      </c>
      <c r="O269" s="29" t="n">
        <v>646678.8100000001</v>
      </c>
      <c r="P269" s="32" t="n">
        <v>-50692.44</v>
      </c>
      <c r="Q269" s="30" t="n">
        <v>33.64</v>
      </c>
      <c r="R269" s="30" t="n">
        <v>33.89</v>
      </c>
    </row>
    <row r="270">
      <c r="A270" s="25" t="inlineStr">
        <is>
          <t>Nov</t>
        </is>
      </c>
      <c r="B270" s="25" t="n">
        <v>11</v>
      </c>
      <c r="C270" s="25" t="inlineStr">
        <is>
          <t>Latin America</t>
        </is>
      </c>
      <c r="D270" s="25" t="inlineStr">
        <is>
          <t>Real Estate</t>
        </is>
      </c>
      <c r="E270" s="26" t="n">
        <v>3641677.4</v>
      </c>
      <c r="F270" s="26" t="n">
        <v>3941049.51</v>
      </c>
      <c r="G270" s="26" t="n">
        <v>2406317.02</v>
      </c>
      <c r="H270" s="26" t="n">
        <v>2594146.2</v>
      </c>
      <c r="I270" s="25" t="n">
        <v>2024</v>
      </c>
      <c r="J270" s="33" t="n">
        <v>299372.11</v>
      </c>
      <c r="K270" s="27" t="n">
        <v>8.220000000000001</v>
      </c>
      <c r="L270" s="33" t="n">
        <v>187829.18</v>
      </c>
      <c r="M270" s="27" t="n">
        <v>7.81</v>
      </c>
      <c r="N270" s="26" t="n">
        <v>1235360.38</v>
      </c>
      <c r="O270" s="26" t="n">
        <v>1346903.31</v>
      </c>
      <c r="P270" s="33" t="n">
        <v>111542.93</v>
      </c>
      <c r="Q270" s="27" t="n">
        <v>33.92</v>
      </c>
      <c r="R270" s="27" t="n">
        <v>34.18</v>
      </c>
    </row>
    <row r="271">
      <c r="A271" s="28" t="inlineStr">
        <is>
          <t>Nov</t>
        </is>
      </c>
      <c r="B271" s="28" t="n">
        <v>11</v>
      </c>
      <c r="C271" s="28" t="inlineStr">
        <is>
          <t>Latin America</t>
        </is>
      </c>
      <c r="D271" s="28" t="inlineStr">
        <is>
          <t>Hedge Funds</t>
        </is>
      </c>
      <c r="E271" s="29" t="n">
        <v>945172.62</v>
      </c>
      <c r="F271" s="29" t="n">
        <v>962587.52</v>
      </c>
      <c r="G271" s="29" t="n">
        <v>439043.18</v>
      </c>
      <c r="H271" s="29" t="n">
        <v>467172.75</v>
      </c>
      <c r="I271" s="28" t="n">
        <v>2024</v>
      </c>
      <c r="J271" s="33" t="n">
        <v>17414.9</v>
      </c>
      <c r="K271" s="30" t="n">
        <v>1.84</v>
      </c>
      <c r="L271" s="33" t="n">
        <v>28129.57</v>
      </c>
      <c r="M271" s="30" t="n">
        <v>6.41</v>
      </c>
      <c r="N271" s="29" t="n">
        <v>506129.44</v>
      </c>
      <c r="O271" s="29" t="n">
        <v>495414.77</v>
      </c>
      <c r="P271" s="32" t="n">
        <v>-10714.67</v>
      </c>
      <c r="Q271" s="30" t="n">
        <v>53.55</v>
      </c>
      <c r="R271" s="30" t="n">
        <v>51.47</v>
      </c>
    </row>
    <row r="272">
      <c r="A272" s="25" t="inlineStr">
        <is>
          <t>Nov</t>
        </is>
      </c>
      <c r="B272" s="25" t="n">
        <v>11</v>
      </c>
      <c r="C272" s="25" t="inlineStr">
        <is>
          <t>Latin America</t>
        </is>
      </c>
      <c r="D272" s="25" t="inlineStr">
        <is>
          <t>Private Equity</t>
        </is>
      </c>
      <c r="E272" s="26" t="n">
        <v>2548664.03</v>
      </c>
      <c r="F272" s="26" t="n">
        <v>2626447.63</v>
      </c>
      <c r="G272" s="26" t="n">
        <v>1567288.78</v>
      </c>
      <c r="H272" s="26" t="n">
        <v>1739057.43</v>
      </c>
      <c r="I272" s="25" t="n">
        <v>2024</v>
      </c>
      <c r="J272" s="33" t="n">
        <v>77783.60000000001</v>
      </c>
      <c r="K272" s="27" t="n">
        <v>3.05</v>
      </c>
      <c r="L272" s="33" t="n">
        <v>171768.65</v>
      </c>
      <c r="M272" s="27" t="n">
        <v>10.96</v>
      </c>
      <c r="N272" s="26" t="n">
        <v>981375.25</v>
      </c>
      <c r="O272" s="26" t="n">
        <v>887390.2</v>
      </c>
      <c r="P272" s="32" t="n">
        <v>-93985.05</v>
      </c>
      <c r="Q272" s="27" t="n">
        <v>38.51</v>
      </c>
      <c r="R272" s="27" t="n">
        <v>33.79</v>
      </c>
    </row>
    <row r="273">
      <c r="A273" s="28" t="inlineStr">
        <is>
          <t>Nov</t>
        </is>
      </c>
      <c r="B273" s="28" t="n">
        <v>11</v>
      </c>
      <c r="C273" s="28" t="inlineStr">
        <is>
          <t>Middle East</t>
        </is>
      </c>
      <c r="D273" s="28" t="inlineStr">
        <is>
          <t>Equity Funds</t>
        </is>
      </c>
      <c r="E273" s="29" t="n">
        <v>2933012.68</v>
      </c>
      <c r="F273" s="29" t="n">
        <v>2790421.71</v>
      </c>
      <c r="G273" s="29" t="n">
        <v>1788537.34</v>
      </c>
      <c r="H273" s="29" t="n">
        <v>1599630.47</v>
      </c>
      <c r="I273" s="28" t="n">
        <v>2024</v>
      </c>
      <c r="J273" s="32" t="n">
        <v>-142590.97</v>
      </c>
      <c r="K273" s="30" t="n">
        <v>-4.86</v>
      </c>
      <c r="L273" s="32" t="n">
        <v>-188906.87</v>
      </c>
      <c r="M273" s="30" t="n">
        <v>-10.56</v>
      </c>
      <c r="N273" s="29" t="n">
        <v>1144475.34</v>
      </c>
      <c r="O273" s="29" t="n">
        <v>1190791.24</v>
      </c>
      <c r="P273" s="33" t="n">
        <v>46315.9</v>
      </c>
      <c r="Q273" s="30" t="n">
        <v>39.02</v>
      </c>
      <c r="R273" s="30" t="n">
        <v>42.67</v>
      </c>
    </row>
    <row r="274">
      <c r="A274" s="25" t="inlineStr">
        <is>
          <t>Nov</t>
        </is>
      </c>
      <c r="B274" s="25" t="n">
        <v>11</v>
      </c>
      <c r="C274" s="25" t="inlineStr">
        <is>
          <t>Middle East</t>
        </is>
      </c>
      <c r="D274" s="25" t="inlineStr">
        <is>
          <t>Fixed Income</t>
        </is>
      </c>
      <c r="E274" s="26" t="n">
        <v>2489691.77</v>
      </c>
      <c r="F274" s="26" t="n">
        <v>2553424.05</v>
      </c>
      <c r="G274" s="26" t="n">
        <v>1516254.92</v>
      </c>
      <c r="H274" s="26" t="n">
        <v>1595717.43</v>
      </c>
      <c r="I274" s="25" t="n">
        <v>2024</v>
      </c>
      <c r="J274" s="33" t="n">
        <v>63732.28</v>
      </c>
      <c r="K274" s="27" t="n">
        <v>2.56</v>
      </c>
      <c r="L274" s="33" t="n">
        <v>79462.50999999999</v>
      </c>
      <c r="M274" s="27" t="n">
        <v>5.24</v>
      </c>
      <c r="N274" s="26" t="n">
        <v>973436.85</v>
      </c>
      <c r="O274" s="26" t="n">
        <v>957706.62</v>
      </c>
      <c r="P274" s="32" t="n">
        <v>-15730.23</v>
      </c>
      <c r="Q274" s="27" t="n">
        <v>39.1</v>
      </c>
      <c r="R274" s="27" t="n">
        <v>37.51</v>
      </c>
    </row>
    <row r="275">
      <c r="A275" s="28" t="inlineStr">
        <is>
          <t>Nov</t>
        </is>
      </c>
      <c r="B275" s="28" t="n">
        <v>11</v>
      </c>
      <c r="C275" s="28" t="inlineStr">
        <is>
          <t>Middle East</t>
        </is>
      </c>
      <c r="D275" s="28" t="inlineStr">
        <is>
          <t>Real Estate</t>
        </is>
      </c>
      <c r="E275" s="29" t="n">
        <v>4252875.27</v>
      </c>
      <c r="F275" s="29" t="n">
        <v>3876001.95</v>
      </c>
      <c r="G275" s="29" t="n">
        <v>2679305.68</v>
      </c>
      <c r="H275" s="29" t="n">
        <v>2718949.47</v>
      </c>
      <c r="I275" s="28" t="n">
        <v>2024</v>
      </c>
      <c r="J275" s="32" t="n">
        <v>-376873.32</v>
      </c>
      <c r="K275" s="30" t="n">
        <v>-8.859999999999999</v>
      </c>
      <c r="L275" s="33" t="n">
        <v>39643.79</v>
      </c>
      <c r="M275" s="30" t="n">
        <v>1.48</v>
      </c>
      <c r="N275" s="29" t="n">
        <v>1573569.59</v>
      </c>
      <c r="O275" s="29" t="n">
        <v>1157052.48</v>
      </c>
      <c r="P275" s="32" t="n">
        <v>-416517.11</v>
      </c>
      <c r="Q275" s="30" t="n">
        <v>37</v>
      </c>
      <c r="R275" s="30" t="n">
        <v>29.85</v>
      </c>
    </row>
    <row r="276">
      <c r="A276" s="25" t="inlineStr">
        <is>
          <t>Nov</t>
        </is>
      </c>
      <c r="B276" s="25" t="n">
        <v>11</v>
      </c>
      <c r="C276" s="25" t="inlineStr">
        <is>
          <t>Middle East</t>
        </is>
      </c>
      <c r="D276" s="25" t="inlineStr">
        <is>
          <t>Hedge Funds</t>
        </is>
      </c>
      <c r="E276" s="26" t="n">
        <v>2040751.27</v>
      </c>
      <c r="F276" s="26" t="n">
        <v>1917286.9</v>
      </c>
      <c r="G276" s="26" t="n">
        <v>1160827.82</v>
      </c>
      <c r="H276" s="26" t="n">
        <v>1102381.16</v>
      </c>
      <c r="I276" s="25" t="n">
        <v>2024</v>
      </c>
      <c r="J276" s="32" t="n">
        <v>-123464.37</v>
      </c>
      <c r="K276" s="27" t="n">
        <v>-6.05</v>
      </c>
      <c r="L276" s="32" t="n">
        <v>-58446.66</v>
      </c>
      <c r="M276" s="27" t="n">
        <v>-5.03</v>
      </c>
      <c r="N276" s="26" t="n">
        <v>879923.45</v>
      </c>
      <c r="O276" s="26" t="n">
        <v>814905.74</v>
      </c>
      <c r="P276" s="32" t="n">
        <v>-65017.71</v>
      </c>
      <c r="Q276" s="27" t="n">
        <v>43.12</v>
      </c>
      <c r="R276" s="27" t="n">
        <v>42.5</v>
      </c>
    </row>
    <row r="277">
      <c r="A277" s="28" t="inlineStr">
        <is>
          <t>Nov</t>
        </is>
      </c>
      <c r="B277" s="28" t="n">
        <v>11</v>
      </c>
      <c r="C277" s="28" t="inlineStr">
        <is>
          <t>Middle East</t>
        </is>
      </c>
      <c r="D277" s="28" t="inlineStr">
        <is>
          <t>Private Equity</t>
        </is>
      </c>
      <c r="E277" s="29" t="n">
        <v>2291922.92</v>
      </c>
      <c r="F277" s="29" t="n">
        <v>2492864.51</v>
      </c>
      <c r="G277" s="29" t="n">
        <v>1427353.77</v>
      </c>
      <c r="H277" s="29" t="n">
        <v>1368239.34</v>
      </c>
      <c r="I277" s="28" t="n">
        <v>2024</v>
      </c>
      <c r="J277" s="33" t="n">
        <v>200941.59</v>
      </c>
      <c r="K277" s="30" t="n">
        <v>8.77</v>
      </c>
      <c r="L277" s="32" t="n">
        <v>-59114.43</v>
      </c>
      <c r="M277" s="30" t="n">
        <v>-4.14</v>
      </c>
      <c r="N277" s="29" t="n">
        <v>864569.15</v>
      </c>
      <c r="O277" s="29" t="n">
        <v>1124625.17</v>
      </c>
      <c r="P277" s="33" t="n">
        <v>260056.02</v>
      </c>
      <c r="Q277" s="30" t="n">
        <v>37.72</v>
      </c>
      <c r="R277" s="30" t="n">
        <v>45.11</v>
      </c>
    </row>
    <row r="278">
      <c r="A278" s="25" t="inlineStr">
        <is>
          <t>Dec</t>
        </is>
      </c>
      <c r="B278" s="25" t="n">
        <v>12</v>
      </c>
      <c r="C278" s="25" t="inlineStr">
        <is>
          <t>North America</t>
        </is>
      </c>
      <c r="D278" s="25" t="inlineStr">
        <is>
          <t>Equity Funds</t>
        </is>
      </c>
      <c r="E278" s="26" t="n">
        <v>3396066.5</v>
      </c>
      <c r="F278" s="26" t="n">
        <v>3394652.82</v>
      </c>
      <c r="G278" s="26" t="n">
        <v>1759667.74</v>
      </c>
      <c r="H278" s="26" t="n">
        <v>1759143.94</v>
      </c>
      <c r="I278" s="25" t="n">
        <v>2024</v>
      </c>
      <c r="J278" s="32" t="n">
        <v>-1413.68</v>
      </c>
      <c r="K278" s="27" t="n">
        <v>-0.04</v>
      </c>
      <c r="L278" s="32" t="n">
        <v>-523.8</v>
      </c>
      <c r="M278" s="27" t="n">
        <v>-0.03</v>
      </c>
      <c r="N278" s="26" t="n">
        <v>1636398.76</v>
      </c>
      <c r="O278" s="26" t="n">
        <v>1635508.88</v>
      </c>
      <c r="P278" s="32" t="n">
        <v>-889.88</v>
      </c>
      <c r="Q278" s="27" t="n">
        <v>48.19</v>
      </c>
      <c r="R278" s="27" t="n">
        <v>48.18</v>
      </c>
    </row>
    <row r="279">
      <c r="A279" s="28" t="inlineStr">
        <is>
          <t>Dec</t>
        </is>
      </c>
      <c r="B279" s="28" t="n">
        <v>12</v>
      </c>
      <c r="C279" s="28" t="inlineStr">
        <is>
          <t>North America</t>
        </is>
      </c>
      <c r="D279" s="28" t="inlineStr">
        <is>
          <t>Fixed Income</t>
        </is>
      </c>
      <c r="E279" s="29" t="n">
        <v>2282500.04</v>
      </c>
      <c r="F279" s="29" t="n">
        <v>2285482.52</v>
      </c>
      <c r="G279" s="29" t="n">
        <v>1047104.31</v>
      </c>
      <c r="H279" s="29" t="n">
        <v>975518.67</v>
      </c>
      <c r="I279" s="28" t="n">
        <v>2024</v>
      </c>
      <c r="J279" s="33" t="n">
        <v>2982.48</v>
      </c>
      <c r="K279" s="30" t="n">
        <v>0.13</v>
      </c>
      <c r="L279" s="32" t="n">
        <v>-71585.64</v>
      </c>
      <c r="M279" s="30" t="n">
        <v>-6.84</v>
      </c>
      <c r="N279" s="29" t="n">
        <v>1235395.73</v>
      </c>
      <c r="O279" s="29" t="n">
        <v>1309963.85</v>
      </c>
      <c r="P279" s="33" t="n">
        <v>74568.12</v>
      </c>
      <c r="Q279" s="30" t="n">
        <v>54.12</v>
      </c>
      <c r="R279" s="30" t="n">
        <v>57.32</v>
      </c>
    </row>
    <row r="280">
      <c r="A280" s="25" t="inlineStr">
        <is>
          <t>Dec</t>
        </is>
      </c>
      <c r="B280" s="25" t="n">
        <v>12</v>
      </c>
      <c r="C280" s="25" t="inlineStr">
        <is>
          <t>North America</t>
        </is>
      </c>
      <c r="D280" s="25" t="inlineStr">
        <is>
          <t>Real Estate</t>
        </is>
      </c>
      <c r="E280" s="26" t="n">
        <v>2279828.92</v>
      </c>
      <c r="F280" s="26" t="n">
        <v>2489029.38</v>
      </c>
      <c r="G280" s="26" t="n">
        <v>1094325.79</v>
      </c>
      <c r="H280" s="26" t="n">
        <v>1086600.77</v>
      </c>
      <c r="I280" s="25" t="n">
        <v>2024</v>
      </c>
      <c r="J280" s="33" t="n">
        <v>209200.46</v>
      </c>
      <c r="K280" s="27" t="n">
        <v>9.18</v>
      </c>
      <c r="L280" s="32" t="n">
        <v>-7725.02</v>
      </c>
      <c r="M280" s="27" t="n">
        <v>-0.71</v>
      </c>
      <c r="N280" s="26" t="n">
        <v>1185503.13</v>
      </c>
      <c r="O280" s="26" t="n">
        <v>1402428.61</v>
      </c>
      <c r="P280" s="33" t="n">
        <v>216925.48</v>
      </c>
      <c r="Q280" s="27" t="n">
        <v>52</v>
      </c>
      <c r="R280" s="27" t="n">
        <v>56.34</v>
      </c>
    </row>
    <row r="281">
      <c r="A281" s="28" t="inlineStr">
        <is>
          <t>Dec</t>
        </is>
      </c>
      <c r="B281" s="28" t="n">
        <v>12</v>
      </c>
      <c r="C281" s="28" t="inlineStr">
        <is>
          <t>North America</t>
        </is>
      </c>
      <c r="D281" s="28" t="inlineStr">
        <is>
          <t>Hedge Funds</t>
        </is>
      </c>
      <c r="E281" s="29" t="n">
        <v>3011910.43</v>
      </c>
      <c r="F281" s="29" t="n">
        <v>3288371.81</v>
      </c>
      <c r="G281" s="29" t="n">
        <v>2248404.06</v>
      </c>
      <c r="H281" s="29" t="n">
        <v>2390785.65</v>
      </c>
      <c r="I281" s="28" t="n">
        <v>2024</v>
      </c>
      <c r="J281" s="33" t="n">
        <v>276461.38</v>
      </c>
      <c r="K281" s="30" t="n">
        <v>9.18</v>
      </c>
      <c r="L281" s="33" t="n">
        <v>142381.59</v>
      </c>
      <c r="M281" s="30" t="n">
        <v>6.33</v>
      </c>
      <c r="N281" s="29" t="n">
        <v>763506.37</v>
      </c>
      <c r="O281" s="29" t="n">
        <v>897586.16</v>
      </c>
      <c r="P281" s="33" t="n">
        <v>134079.79</v>
      </c>
      <c r="Q281" s="30" t="n">
        <v>25.35</v>
      </c>
      <c r="R281" s="30" t="n">
        <v>27.3</v>
      </c>
    </row>
    <row r="282">
      <c r="A282" s="25" t="inlineStr">
        <is>
          <t>Dec</t>
        </is>
      </c>
      <c r="B282" s="25" t="n">
        <v>12</v>
      </c>
      <c r="C282" s="25" t="inlineStr">
        <is>
          <t>North America</t>
        </is>
      </c>
      <c r="D282" s="25" t="inlineStr">
        <is>
          <t>Private Equity</t>
        </is>
      </c>
      <c r="E282" s="26" t="n">
        <v>2369785.63</v>
      </c>
      <c r="F282" s="26" t="n">
        <v>2196121.28</v>
      </c>
      <c r="G282" s="26" t="n">
        <v>1346645.29</v>
      </c>
      <c r="H282" s="26" t="n">
        <v>1208812.94</v>
      </c>
      <c r="I282" s="25" t="n">
        <v>2024</v>
      </c>
      <c r="J282" s="32" t="n">
        <v>-173664.35</v>
      </c>
      <c r="K282" s="27" t="n">
        <v>-7.33</v>
      </c>
      <c r="L282" s="32" t="n">
        <v>-137832.35</v>
      </c>
      <c r="M282" s="27" t="n">
        <v>-10.24</v>
      </c>
      <c r="N282" s="26" t="n">
        <v>1023140.34</v>
      </c>
      <c r="O282" s="26" t="n">
        <v>987308.34</v>
      </c>
      <c r="P282" s="32" t="n">
        <v>-35832</v>
      </c>
      <c r="Q282" s="27" t="n">
        <v>43.17</v>
      </c>
      <c r="R282" s="27" t="n">
        <v>44.96</v>
      </c>
    </row>
    <row r="283">
      <c r="A283" s="28" t="inlineStr">
        <is>
          <t>Dec</t>
        </is>
      </c>
      <c r="B283" s="28" t="n">
        <v>12</v>
      </c>
      <c r="C283" s="28" t="inlineStr">
        <is>
          <t>Europe</t>
        </is>
      </c>
      <c r="D283" s="28" t="inlineStr">
        <is>
          <t>Equity Funds</t>
        </is>
      </c>
      <c r="E283" s="29" t="n">
        <v>2789323.8</v>
      </c>
      <c r="F283" s="29" t="n">
        <v>3116739.56</v>
      </c>
      <c r="G283" s="29" t="n">
        <v>2053689.51</v>
      </c>
      <c r="H283" s="29" t="n">
        <v>1865807</v>
      </c>
      <c r="I283" s="28" t="n">
        <v>2024</v>
      </c>
      <c r="J283" s="33" t="n">
        <v>327415.76</v>
      </c>
      <c r="K283" s="30" t="n">
        <v>11.74</v>
      </c>
      <c r="L283" s="32" t="n">
        <v>-187882.51</v>
      </c>
      <c r="M283" s="30" t="n">
        <v>-9.15</v>
      </c>
      <c r="N283" s="29" t="n">
        <v>735634.29</v>
      </c>
      <c r="O283" s="29" t="n">
        <v>1250932.56</v>
      </c>
      <c r="P283" s="33" t="n">
        <v>515298.27</v>
      </c>
      <c r="Q283" s="30" t="n">
        <v>26.37</v>
      </c>
      <c r="R283" s="30" t="n">
        <v>40.14</v>
      </c>
    </row>
    <row r="284">
      <c r="A284" s="25" t="inlineStr">
        <is>
          <t>Dec</t>
        </is>
      </c>
      <c r="B284" s="25" t="n">
        <v>12</v>
      </c>
      <c r="C284" s="25" t="inlineStr">
        <is>
          <t>Europe</t>
        </is>
      </c>
      <c r="D284" s="25" t="inlineStr">
        <is>
          <t>Fixed Income</t>
        </is>
      </c>
      <c r="E284" s="26" t="n">
        <v>5184072.73</v>
      </c>
      <c r="F284" s="26" t="n">
        <v>4983866.29</v>
      </c>
      <c r="G284" s="26" t="n">
        <v>3025573.12</v>
      </c>
      <c r="H284" s="26" t="n">
        <v>3210712.91</v>
      </c>
      <c r="I284" s="25" t="n">
        <v>2024</v>
      </c>
      <c r="J284" s="32" t="n">
        <v>-200206.44</v>
      </c>
      <c r="K284" s="27" t="n">
        <v>-3.86</v>
      </c>
      <c r="L284" s="33" t="n">
        <v>185139.79</v>
      </c>
      <c r="M284" s="27" t="n">
        <v>6.12</v>
      </c>
      <c r="N284" s="26" t="n">
        <v>2158499.61</v>
      </c>
      <c r="O284" s="26" t="n">
        <v>1773153.38</v>
      </c>
      <c r="P284" s="32" t="n">
        <v>-385346.23</v>
      </c>
      <c r="Q284" s="27" t="n">
        <v>41.64</v>
      </c>
      <c r="R284" s="27" t="n">
        <v>35.58</v>
      </c>
    </row>
    <row r="285">
      <c r="A285" s="28" t="inlineStr">
        <is>
          <t>Dec</t>
        </is>
      </c>
      <c r="B285" s="28" t="n">
        <v>12</v>
      </c>
      <c r="C285" s="28" t="inlineStr">
        <is>
          <t>Europe</t>
        </is>
      </c>
      <c r="D285" s="28" t="inlineStr">
        <is>
          <t>Real Estate</t>
        </is>
      </c>
      <c r="E285" s="29" t="n">
        <v>1636068.59</v>
      </c>
      <c r="F285" s="29" t="n">
        <v>1457529.01</v>
      </c>
      <c r="G285" s="29" t="n">
        <v>914519.38</v>
      </c>
      <c r="H285" s="29" t="n">
        <v>877874.38</v>
      </c>
      <c r="I285" s="28" t="n">
        <v>2024</v>
      </c>
      <c r="J285" s="32" t="n">
        <v>-178539.58</v>
      </c>
      <c r="K285" s="30" t="n">
        <v>-10.91</v>
      </c>
      <c r="L285" s="32" t="n">
        <v>-36645</v>
      </c>
      <c r="M285" s="30" t="n">
        <v>-4.01</v>
      </c>
      <c r="N285" s="29" t="n">
        <v>721549.21</v>
      </c>
      <c r="O285" s="29" t="n">
        <v>579654.63</v>
      </c>
      <c r="P285" s="32" t="n">
        <v>-141894.58</v>
      </c>
      <c r="Q285" s="30" t="n">
        <v>44.1</v>
      </c>
      <c r="R285" s="30" t="n">
        <v>39.77</v>
      </c>
    </row>
    <row r="286">
      <c r="A286" s="25" t="inlineStr">
        <is>
          <t>Dec</t>
        </is>
      </c>
      <c r="B286" s="25" t="n">
        <v>12</v>
      </c>
      <c r="C286" s="25" t="inlineStr">
        <is>
          <t>Europe</t>
        </is>
      </c>
      <c r="D286" s="25" t="inlineStr">
        <is>
          <t>Hedge Funds</t>
        </is>
      </c>
      <c r="E286" s="26" t="n">
        <v>2849012.97</v>
      </c>
      <c r="F286" s="26" t="n">
        <v>2859615.22</v>
      </c>
      <c r="G286" s="26" t="n">
        <v>1581485.4</v>
      </c>
      <c r="H286" s="26" t="n">
        <v>1624401.14</v>
      </c>
      <c r="I286" s="25" t="n">
        <v>2024</v>
      </c>
      <c r="J286" s="33" t="n">
        <v>10602.25</v>
      </c>
      <c r="K286" s="27" t="n">
        <v>0.37</v>
      </c>
      <c r="L286" s="33" t="n">
        <v>42915.74</v>
      </c>
      <c r="M286" s="27" t="n">
        <v>2.71</v>
      </c>
      <c r="N286" s="26" t="n">
        <v>1267527.57</v>
      </c>
      <c r="O286" s="26" t="n">
        <v>1235214.08</v>
      </c>
      <c r="P286" s="32" t="n">
        <v>-32313.49</v>
      </c>
      <c r="Q286" s="27" t="n">
        <v>44.49</v>
      </c>
      <c r="R286" s="27" t="n">
        <v>43.2</v>
      </c>
    </row>
    <row r="287">
      <c r="A287" s="28" t="inlineStr">
        <is>
          <t>Dec</t>
        </is>
      </c>
      <c r="B287" s="28" t="n">
        <v>12</v>
      </c>
      <c r="C287" s="28" t="inlineStr">
        <is>
          <t>Europe</t>
        </is>
      </c>
      <c r="D287" s="28" t="inlineStr">
        <is>
          <t>Private Equity</t>
        </is>
      </c>
      <c r="E287" s="29" t="n">
        <v>1553467.19</v>
      </c>
      <c r="F287" s="29" t="n">
        <v>1478615.3</v>
      </c>
      <c r="G287" s="29" t="n">
        <v>1071457.69</v>
      </c>
      <c r="H287" s="29" t="n">
        <v>1155877.25</v>
      </c>
      <c r="I287" s="28" t="n">
        <v>2024</v>
      </c>
      <c r="J287" s="32" t="n">
        <v>-74851.89</v>
      </c>
      <c r="K287" s="30" t="n">
        <v>-4.82</v>
      </c>
      <c r="L287" s="33" t="n">
        <v>84419.56</v>
      </c>
      <c r="M287" s="30" t="n">
        <v>7.88</v>
      </c>
      <c r="N287" s="29" t="n">
        <v>482009.5</v>
      </c>
      <c r="O287" s="29" t="n">
        <v>322738.05</v>
      </c>
      <c r="P287" s="32" t="n">
        <v>-159271.45</v>
      </c>
      <c r="Q287" s="30" t="n">
        <v>31.03</v>
      </c>
      <c r="R287" s="30" t="n">
        <v>21.83</v>
      </c>
    </row>
    <row r="288">
      <c r="A288" s="25" t="inlineStr">
        <is>
          <t>Dec</t>
        </is>
      </c>
      <c r="B288" s="25" t="n">
        <v>12</v>
      </c>
      <c r="C288" s="25" t="inlineStr">
        <is>
          <t>Asia Pacific</t>
        </is>
      </c>
      <c r="D288" s="25" t="inlineStr">
        <is>
          <t>Equity Funds</t>
        </is>
      </c>
      <c r="E288" s="26" t="n">
        <v>2914267.03</v>
      </c>
      <c r="F288" s="26" t="n">
        <v>3135109.37</v>
      </c>
      <c r="G288" s="26" t="n">
        <v>1958643.33</v>
      </c>
      <c r="H288" s="26" t="n">
        <v>2040345.27</v>
      </c>
      <c r="I288" s="25" t="n">
        <v>2024</v>
      </c>
      <c r="J288" s="33" t="n">
        <v>220842.34</v>
      </c>
      <c r="K288" s="27" t="n">
        <v>7.58</v>
      </c>
      <c r="L288" s="33" t="n">
        <v>81701.94</v>
      </c>
      <c r="M288" s="27" t="n">
        <v>4.17</v>
      </c>
      <c r="N288" s="26" t="n">
        <v>955623.7</v>
      </c>
      <c r="O288" s="26" t="n">
        <v>1094764.1</v>
      </c>
      <c r="P288" s="33" t="n">
        <v>139140.4</v>
      </c>
      <c r="Q288" s="27" t="n">
        <v>32.79</v>
      </c>
      <c r="R288" s="27" t="n">
        <v>34.92</v>
      </c>
    </row>
    <row r="289">
      <c r="A289" s="28" t="inlineStr">
        <is>
          <t>Dec</t>
        </is>
      </c>
      <c r="B289" s="28" t="n">
        <v>12</v>
      </c>
      <c r="C289" s="28" t="inlineStr">
        <is>
          <t>Asia Pacific</t>
        </is>
      </c>
      <c r="D289" s="28" t="inlineStr">
        <is>
          <t>Fixed Income</t>
        </is>
      </c>
      <c r="E289" s="29" t="n">
        <v>5207315.65</v>
      </c>
      <c r="F289" s="29" t="n">
        <v>5488915.88</v>
      </c>
      <c r="G289" s="29" t="n">
        <v>3188339.41</v>
      </c>
      <c r="H289" s="29" t="n">
        <v>2826129.12</v>
      </c>
      <c r="I289" s="28" t="n">
        <v>2024</v>
      </c>
      <c r="J289" s="33" t="n">
        <v>281600.23</v>
      </c>
      <c r="K289" s="30" t="n">
        <v>5.41</v>
      </c>
      <c r="L289" s="32" t="n">
        <v>-362210.29</v>
      </c>
      <c r="M289" s="30" t="n">
        <v>-11.36</v>
      </c>
      <c r="N289" s="29" t="n">
        <v>2018976.24</v>
      </c>
      <c r="O289" s="29" t="n">
        <v>2662786.76</v>
      </c>
      <c r="P289" s="33" t="n">
        <v>643810.52</v>
      </c>
      <c r="Q289" s="30" t="n">
        <v>38.77</v>
      </c>
      <c r="R289" s="30" t="n">
        <v>48.51</v>
      </c>
    </row>
    <row r="290">
      <c r="A290" s="25" t="inlineStr">
        <is>
          <t>Dec</t>
        </is>
      </c>
      <c r="B290" s="25" t="n">
        <v>12</v>
      </c>
      <c r="C290" s="25" t="inlineStr">
        <is>
          <t>Asia Pacific</t>
        </is>
      </c>
      <c r="D290" s="25" t="inlineStr">
        <is>
          <t>Real Estate</t>
        </is>
      </c>
      <c r="E290" s="26" t="n">
        <v>2951324.85</v>
      </c>
      <c r="F290" s="26" t="n">
        <v>3146935.37</v>
      </c>
      <c r="G290" s="26" t="n">
        <v>2099464.68</v>
      </c>
      <c r="H290" s="26" t="n">
        <v>2211021.89</v>
      </c>
      <c r="I290" s="25" t="n">
        <v>2024</v>
      </c>
      <c r="J290" s="33" t="n">
        <v>195610.52</v>
      </c>
      <c r="K290" s="27" t="n">
        <v>6.63</v>
      </c>
      <c r="L290" s="33" t="n">
        <v>111557.21</v>
      </c>
      <c r="M290" s="27" t="n">
        <v>5.31</v>
      </c>
      <c r="N290" s="26" t="n">
        <v>851860.17</v>
      </c>
      <c r="O290" s="26" t="n">
        <v>935913.48</v>
      </c>
      <c r="P290" s="33" t="n">
        <v>84053.31</v>
      </c>
      <c r="Q290" s="27" t="n">
        <v>28.86</v>
      </c>
      <c r="R290" s="27" t="n">
        <v>29.74</v>
      </c>
    </row>
    <row r="291">
      <c r="A291" s="28" t="inlineStr">
        <is>
          <t>Dec</t>
        </is>
      </c>
      <c r="B291" s="28" t="n">
        <v>12</v>
      </c>
      <c r="C291" s="28" t="inlineStr">
        <is>
          <t>Asia Pacific</t>
        </is>
      </c>
      <c r="D291" s="28" t="inlineStr">
        <is>
          <t>Hedge Funds</t>
        </is>
      </c>
      <c r="E291" s="29" t="n">
        <v>3334684.76</v>
      </c>
      <c r="F291" s="29" t="n">
        <v>3430512.24</v>
      </c>
      <c r="G291" s="29" t="n">
        <v>1740311.48</v>
      </c>
      <c r="H291" s="29" t="n">
        <v>1593196.29</v>
      </c>
      <c r="I291" s="28" t="n">
        <v>2024</v>
      </c>
      <c r="J291" s="33" t="n">
        <v>95827.48</v>
      </c>
      <c r="K291" s="30" t="n">
        <v>2.87</v>
      </c>
      <c r="L291" s="32" t="n">
        <v>-147115.19</v>
      </c>
      <c r="M291" s="30" t="n">
        <v>-8.449999999999999</v>
      </c>
      <c r="N291" s="29" t="n">
        <v>1594373.28</v>
      </c>
      <c r="O291" s="29" t="n">
        <v>1837315.95</v>
      </c>
      <c r="P291" s="33" t="n">
        <v>242942.67</v>
      </c>
      <c r="Q291" s="30" t="n">
        <v>47.81</v>
      </c>
      <c r="R291" s="30" t="n">
        <v>53.56</v>
      </c>
    </row>
    <row r="292">
      <c r="A292" s="25" t="inlineStr">
        <is>
          <t>Dec</t>
        </is>
      </c>
      <c r="B292" s="25" t="n">
        <v>12</v>
      </c>
      <c r="C292" s="25" t="inlineStr">
        <is>
          <t>Asia Pacific</t>
        </is>
      </c>
      <c r="D292" s="25" t="inlineStr">
        <is>
          <t>Private Equity</t>
        </is>
      </c>
      <c r="E292" s="26" t="n">
        <v>3987054.25</v>
      </c>
      <c r="F292" s="26" t="n">
        <v>3613766</v>
      </c>
      <c r="G292" s="26" t="n">
        <v>1519473.97</v>
      </c>
      <c r="H292" s="26" t="n">
        <v>1451532.51</v>
      </c>
      <c r="I292" s="25" t="n">
        <v>2024</v>
      </c>
      <c r="J292" s="32" t="n">
        <v>-373288.25</v>
      </c>
      <c r="K292" s="27" t="n">
        <v>-9.359999999999999</v>
      </c>
      <c r="L292" s="32" t="n">
        <v>-67941.46000000001</v>
      </c>
      <c r="M292" s="27" t="n">
        <v>-4.47</v>
      </c>
      <c r="N292" s="26" t="n">
        <v>2467580.28</v>
      </c>
      <c r="O292" s="26" t="n">
        <v>2162233.49</v>
      </c>
      <c r="P292" s="32" t="n">
        <v>-305346.79</v>
      </c>
      <c r="Q292" s="27" t="n">
        <v>61.89</v>
      </c>
      <c r="R292" s="27" t="n">
        <v>59.83</v>
      </c>
    </row>
    <row r="293">
      <c r="A293" s="28" t="inlineStr">
        <is>
          <t>Dec</t>
        </is>
      </c>
      <c r="B293" s="28" t="n">
        <v>12</v>
      </c>
      <c r="C293" s="28" t="inlineStr">
        <is>
          <t>Latin America</t>
        </is>
      </c>
      <c r="D293" s="28" t="inlineStr">
        <is>
          <t>Equity Funds</t>
        </is>
      </c>
      <c r="E293" s="29" t="n">
        <v>1410271.47</v>
      </c>
      <c r="F293" s="29" t="n">
        <v>1503340.01</v>
      </c>
      <c r="G293" s="29" t="n">
        <v>1023041.94</v>
      </c>
      <c r="H293" s="29" t="n">
        <v>1114579.9</v>
      </c>
      <c r="I293" s="28" t="n">
        <v>2024</v>
      </c>
      <c r="J293" s="33" t="n">
        <v>93068.53999999999</v>
      </c>
      <c r="K293" s="30" t="n">
        <v>6.6</v>
      </c>
      <c r="L293" s="33" t="n">
        <v>91537.96000000001</v>
      </c>
      <c r="M293" s="30" t="n">
        <v>8.949999999999999</v>
      </c>
      <c r="N293" s="29" t="n">
        <v>387229.53</v>
      </c>
      <c r="O293" s="29" t="n">
        <v>388760.11</v>
      </c>
      <c r="P293" s="33" t="n">
        <v>1530.58</v>
      </c>
      <c r="Q293" s="30" t="n">
        <v>27.46</v>
      </c>
      <c r="R293" s="30" t="n">
        <v>25.86</v>
      </c>
    </row>
    <row r="294">
      <c r="A294" s="25" t="inlineStr">
        <is>
          <t>Dec</t>
        </is>
      </c>
      <c r="B294" s="25" t="n">
        <v>12</v>
      </c>
      <c r="C294" s="25" t="inlineStr">
        <is>
          <t>Latin America</t>
        </is>
      </c>
      <c r="D294" s="25" t="inlineStr">
        <is>
          <t>Fixed Income</t>
        </is>
      </c>
      <c r="E294" s="26" t="n">
        <v>3608907.32</v>
      </c>
      <c r="F294" s="26" t="n">
        <v>3355424.92</v>
      </c>
      <c r="G294" s="26" t="n">
        <v>1759622.57</v>
      </c>
      <c r="H294" s="26" t="n">
        <v>1828132.48</v>
      </c>
      <c r="I294" s="25" t="n">
        <v>2024</v>
      </c>
      <c r="J294" s="32" t="n">
        <v>-253482.4</v>
      </c>
      <c r="K294" s="27" t="n">
        <v>-7.02</v>
      </c>
      <c r="L294" s="33" t="n">
        <v>68509.91</v>
      </c>
      <c r="M294" s="27" t="n">
        <v>3.89</v>
      </c>
      <c r="N294" s="26" t="n">
        <v>1849284.75</v>
      </c>
      <c r="O294" s="26" t="n">
        <v>1527292.44</v>
      </c>
      <c r="P294" s="32" t="n">
        <v>-321992.31</v>
      </c>
      <c r="Q294" s="27" t="n">
        <v>51.24</v>
      </c>
      <c r="R294" s="27" t="n">
        <v>45.52</v>
      </c>
    </row>
    <row r="295">
      <c r="A295" s="28" t="inlineStr">
        <is>
          <t>Dec</t>
        </is>
      </c>
      <c r="B295" s="28" t="n">
        <v>12</v>
      </c>
      <c r="C295" s="28" t="inlineStr">
        <is>
          <t>Latin America</t>
        </is>
      </c>
      <c r="D295" s="28" t="inlineStr">
        <is>
          <t>Real Estate</t>
        </is>
      </c>
      <c r="E295" s="29" t="n">
        <v>2810455.68</v>
      </c>
      <c r="F295" s="29" t="n">
        <v>3088437.29</v>
      </c>
      <c r="G295" s="29" t="n">
        <v>1584591.87</v>
      </c>
      <c r="H295" s="29" t="n">
        <v>1529176.91</v>
      </c>
      <c r="I295" s="28" t="n">
        <v>2024</v>
      </c>
      <c r="J295" s="33" t="n">
        <v>277981.61</v>
      </c>
      <c r="K295" s="30" t="n">
        <v>9.890000000000001</v>
      </c>
      <c r="L295" s="32" t="n">
        <v>-55414.96</v>
      </c>
      <c r="M295" s="30" t="n">
        <v>-3.5</v>
      </c>
      <c r="N295" s="29" t="n">
        <v>1225863.81</v>
      </c>
      <c r="O295" s="29" t="n">
        <v>1559260.38</v>
      </c>
      <c r="P295" s="33" t="n">
        <v>333396.57</v>
      </c>
      <c r="Q295" s="30" t="n">
        <v>43.62</v>
      </c>
      <c r="R295" s="30" t="n">
        <v>50.49</v>
      </c>
    </row>
    <row r="296">
      <c r="A296" s="25" t="inlineStr">
        <is>
          <t>Dec</t>
        </is>
      </c>
      <c r="B296" s="25" t="n">
        <v>12</v>
      </c>
      <c r="C296" s="25" t="inlineStr">
        <is>
          <t>Latin America</t>
        </is>
      </c>
      <c r="D296" s="25" t="inlineStr">
        <is>
          <t>Hedge Funds</t>
        </is>
      </c>
      <c r="E296" s="26" t="n">
        <v>4158218.4</v>
      </c>
      <c r="F296" s="26" t="n">
        <v>4351139.75</v>
      </c>
      <c r="G296" s="26" t="n">
        <v>2752625.58</v>
      </c>
      <c r="H296" s="26" t="n">
        <v>2549326.02</v>
      </c>
      <c r="I296" s="25" t="n">
        <v>2024</v>
      </c>
      <c r="J296" s="33" t="n">
        <v>192921.35</v>
      </c>
      <c r="K296" s="27" t="n">
        <v>4.64</v>
      </c>
      <c r="L296" s="32" t="n">
        <v>-203299.56</v>
      </c>
      <c r="M296" s="27" t="n">
        <v>-7.39</v>
      </c>
      <c r="N296" s="26" t="n">
        <v>1405592.82</v>
      </c>
      <c r="O296" s="26" t="n">
        <v>1801813.73</v>
      </c>
      <c r="P296" s="33" t="n">
        <v>396220.91</v>
      </c>
      <c r="Q296" s="27" t="n">
        <v>33.8</v>
      </c>
      <c r="R296" s="27" t="n">
        <v>41.41</v>
      </c>
    </row>
    <row r="297">
      <c r="A297" s="28" t="inlineStr">
        <is>
          <t>Dec</t>
        </is>
      </c>
      <c r="B297" s="28" t="n">
        <v>12</v>
      </c>
      <c r="C297" s="28" t="inlineStr">
        <is>
          <t>Latin America</t>
        </is>
      </c>
      <c r="D297" s="28" t="inlineStr">
        <is>
          <t>Private Equity</t>
        </is>
      </c>
      <c r="E297" s="29" t="n">
        <v>1734385.64</v>
      </c>
      <c r="F297" s="29" t="n">
        <v>1931235.9</v>
      </c>
      <c r="G297" s="29" t="n">
        <v>1087342.45</v>
      </c>
      <c r="H297" s="29" t="n">
        <v>1032280.51</v>
      </c>
      <c r="I297" s="28" t="n">
        <v>2024</v>
      </c>
      <c r="J297" s="33" t="n">
        <v>196850.26</v>
      </c>
      <c r="K297" s="30" t="n">
        <v>11.35</v>
      </c>
      <c r="L297" s="32" t="n">
        <v>-55061.94</v>
      </c>
      <c r="M297" s="30" t="n">
        <v>-5.06</v>
      </c>
      <c r="N297" s="29" t="n">
        <v>647043.1899999999</v>
      </c>
      <c r="O297" s="29" t="n">
        <v>898955.39</v>
      </c>
      <c r="P297" s="33" t="n">
        <v>251912.2</v>
      </c>
      <c r="Q297" s="30" t="n">
        <v>37.31</v>
      </c>
      <c r="R297" s="30" t="n">
        <v>46.55</v>
      </c>
    </row>
    <row r="298">
      <c r="A298" s="25" t="inlineStr">
        <is>
          <t>Dec</t>
        </is>
      </c>
      <c r="B298" s="25" t="n">
        <v>12</v>
      </c>
      <c r="C298" s="25" t="inlineStr">
        <is>
          <t>Middle East</t>
        </is>
      </c>
      <c r="D298" s="25" t="inlineStr">
        <is>
          <t>Equity Funds</t>
        </is>
      </c>
      <c r="E298" s="26" t="n">
        <v>1609437.61</v>
      </c>
      <c r="F298" s="26" t="n">
        <v>1551035.56</v>
      </c>
      <c r="G298" s="26" t="n">
        <v>1200928.22</v>
      </c>
      <c r="H298" s="26" t="n">
        <v>1286070.77</v>
      </c>
      <c r="I298" s="25" t="n">
        <v>2024</v>
      </c>
      <c r="J298" s="32" t="n">
        <v>-58402.05</v>
      </c>
      <c r="K298" s="27" t="n">
        <v>-3.63</v>
      </c>
      <c r="L298" s="33" t="n">
        <v>85142.55</v>
      </c>
      <c r="M298" s="27" t="n">
        <v>7.09</v>
      </c>
      <c r="N298" s="26" t="n">
        <v>408509.39</v>
      </c>
      <c r="O298" s="26" t="n">
        <v>264964.79</v>
      </c>
      <c r="P298" s="32" t="n">
        <v>-143544.6</v>
      </c>
      <c r="Q298" s="27" t="n">
        <v>25.38</v>
      </c>
      <c r="R298" s="27" t="n">
        <v>17.08</v>
      </c>
    </row>
    <row r="299">
      <c r="A299" s="28" t="inlineStr">
        <is>
          <t>Dec</t>
        </is>
      </c>
      <c r="B299" s="28" t="n">
        <v>12</v>
      </c>
      <c r="C299" s="28" t="inlineStr">
        <is>
          <t>Middle East</t>
        </is>
      </c>
      <c r="D299" s="28" t="inlineStr">
        <is>
          <t>Fixed Income</t>
        </is>
      </c>
      <c r="E299" s="29" t="n">
        <v>2017352.11</v>
      </c>
      <c r="F299" s="29" t="n">
        <v>1959104.3</v>
      </c>
      <c r="G299" s="29" t="n">
        <v>1039122.88</v>
      </c>
      <c r="H299" s="29" t="n">
        <v>1118522.87</v>
      </c>
      <c r="I299" s="28" t="n">
        <v>2024</v>
      </c>
      <c r="J299" s="32" t="n">
        <v>-58247.81</v>
      </c>
      <c r="K299" s="30" t="n">
        <v>-2.89</v>
      </c>
      <c r="L299" s="33" t="n">
        <v>79399.99000000001</v>
      </c>
      <c r="M299" s="30" t="n">
        <v>7.64</v>
      </c>
      <c r="N299" s="29" t="n">
        <v>978229.23</v>
      </c>
      <c r="O299" s="29" t="n">
        <v>840581.4300000001</v>
      </c>
      <c r="P299" s="32" t="n">
        <v>-137647.8</v>
      </c>
      <c r="Q299" s="30" t="n">
        <v>48.49</v>
      </c>
      <c r="R299" s="30" t="n">
        <v>42.91</v>
      </c>
    </row>
    <row r="300">
      <c r="A300" s="25" t="inlineStr">
        <is>
          <t>Dec</t>
        </is>
      </c>
      <c r="B300" s="25" t="n">
        <v>12</v>
      </c>
      <c r="C300" s="25" t="inlineStr">
        <is>
          <t>Middle East</t>
        </is>
      </c>
      <c r="D300" s="25" t="inlineStr">
        <is>
          <t>Real Estate</t>
        </is>
      </c>
      <c r="E300" s="26" t="n">
        <v>4607799.62</v>
      </c>
      <c r="F300" s="26" t="n">
        <v>4372945.98</v>
      </c>
      <c r="G300" s="26" t="n">
        <v>3467525.18</v>
      </c>
      <c r="H300" s="26" t="n">
        <v>3339667.97</v>
      </c>
      <c r="I300" s="25" t="n">
        <v>2024</v>
      </c>
      <c r="J300" s="32" t="n">
        <v>-234853.64</v>
      </c>
      <c r="K300" s="27" t="n">
        <v>-5.1</v>
      </c>
      <c r="L300" s="32" t="n">
        <v>-127857.21</v>
      </c>
      <c r="M300" s="27" t="n">
        <v>-3.69</v>
      </c>
      <c r="N300" s="26" t="n">
        <v>1140274.44</v>
      </c>
      <c r="O300" s="26" t="n">
        <v>1033278.01</v>
      </c>
      <c r="P300" s="32" t="n">
        <v>-106996.43</v>
      </c>
      <c r="Q300" s="27" t="n">
        <v>24.75</v>
      </c>
      <c r="R300" s="27" t="n">
        <v>23.63</v>
      </c>
    </row>
    <row r="301">
      <c r="A301" s="28" t="inlineStr">
        <is>
          <t>Dec</t>
        </is>
      </c>
      <c r="B301" s="28" t="n">
        <v>12</v>
      </c>
      <c r="C301" s="28" t="inlineStr">
        <is>
          <t>Middle East</t>
        </is>
      </c>
      <c r="D301" s="28" t="inlineStr">
        <is>
          <t>Hedge Funds</t>
        </is>
      </c>
      <c r="E301" s="29" t="n">
        <v>2646858.29</v>
      </c>
      <c r="F301" s="29" t="n">
        <v>2457598.19</v>
      </c>
      <c r="G301" s="29" t="n">
        <v>1411383.99</v>
      </c>
      <c r="H301" s="29" t="n">
        <v>1558063.12</v>
      </c>
      <c r="I301" s="28" t="n">
        <v>2024</v>
      </c>
      <c r="J301" s="32" t="n">
        <v>-189260.1</v>
      </c>
      <c r="K301" s="30" t="n">
        <v>-7.15</v>
      </c>
      <c r="L301" s="33" t="n">
        <v>146679.13</v>
      </c>
      <c r="M301" s="30" t="n">
        <v>10.39</v>
      </c>
      <c r="N301" s="29" t="n">
        <v>1235474.3</v>
      </c>
      <c r="O301" s="29" t="n">
        <v>899535.0699999999</v>
      </c>
      <c r="P301" s="32" t="n">
        <v>-335939.23</v>
      </c>
      <c r="Q301" s="30" t="n">
        <v>46.68</v>
      </c>
      <c r="R301" s="30" t="n">
        <v>36.6</v>
      </c>
    </row>
    <row r="302">
      <c r="A302" s="25" t="inlineStr">
        <is>
          <t>Dec</t>
        </is>
      </c>
      <c r="B302" s="25" t="n">
        <v>12</v>
      </c>
      <c r="C302" s="25" t="inlineStr">
        <is>
          <t>Middle East</t>
        </is>
      </c>
      <c r="D302" s="25" t="inlineStr">
        <is>
          <t>Private Equity</t>
        </is>
      </c>
      <c r="E302" s="26" t="n">
        <v>3810073.85</v>
      </c>
      <c r="F302" s="26" t="n">
        <v>3889473.2</v>
      </c>
      <c r="G302" s="26" t="n">
        <v>1734906.66</v>
      </c>
      <c r="H302" s="26" t="n">
        <v>1805621.72</v>
      </c>
      <c r="I302" s="25" t="n">
        <v>2024</v>
      </c>
      <c r="J302" s="33" t="n">
        <v>79399.35000000001</v>
      </c>
      <c r="K302" s="27" t="n">
        <v>2.08</v>
      </c>
      <c r="L302" s="33" t="n">
        <v>70715.06</v>
      </c>
      <c r="M302" s="27" t="n">
        <v>4.08</v>
      </c>
      <c r="N302" s="26" t="n">
        <v>2075167.19</v>
      </c>
      <c r="O302" s="26" t="n">
        <v>2083851.48</v>
      </c>
      <c r="P302" s="33" t="n">
        <v>8684.290000000001</v>
      </c>
      <c r="Q302" s="27" t="n">
        <v>54.47</v>
      </c>
      <c r="R302" s="27" t="n">
        <v>53.58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5631"/>
    <outlinePr summaryBelow="1" summaryRight="1"/>
    <pageSetUpPr/>
  </sheetPr>
  <dimension ref="A1:K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31" t="inlineStr">
        <is>
          <t>REGIONAL FINANCIAL ANALYSIS — FY2024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>
      <c r="A2" s="24" t="inlineStr">
        <is>
          <t>Region</t>
        </is>
      </c>
      <c r="B2" s="24" t="inlineStr">
        <is>
          <t>Month</t>
        </is>
      </c>
      <c r="C2" s="24" t="inlineStr">
        <is>
          <t>Rev Budget</t>
        </is>
      </c>
      <c r="D2" s="24" t="inlineStr">
        <is>
          <t>Rev Actual</t>
        </is>
      </c>
      <c r="E2" s="24" t="inlineStr">
        <is>
          <t>Rev Variance</t>
        </is>
      </c>
      <c r="F2" s="24" t="inlineStr">
        <is>
          <t>Rev Var %</t>
        </is>
      </c>
      <c r="G2" s="24" t="inlineStr">
        <is>
          <t>Exp Budget</t>
        </is>
      </c>
      <c r="H2" s="24" t="inlineStr">
        <is>
          <t>Exp Actual</t>
        </is>
      </c>
      <c r="I2" s="24" t="inlineStr">
        <is>
          <t>NI Budget</t>
        </is>
      </c>
      <c r="J2" s="24" t="inlineStr">
        <is>
          <t>NI Actual</t>
        </is>
      </c>
      <c r="K2" s="24" t="inlineStr">
        <is>
          <t>NI Margin %</t>
        </is>
      </c>
    </row>
    <row r="3">
      <c r="A3" s="34" t="inlineStr">
        <is>
          <t>Asia Pacific</t>
        </is>
      </c>
      <c r="B3" s="34" t="inlineStr">
        <is>
          <t>Jan</t>
        </is>
      </c>
      <c r="C3" s="35" t="n">
        <v>15989434.54</v>
      </c>
      <c r="D3" s="35" t="n">
        <v>15897195.98</v>
      </c>
      <c r="E3" s="35" t="n">
        <v>-92238.56</v>
      </c>
      <c r="F3" s="36" t="n">
        <v>-0.58</v>
      </c>
      <c r="G3" s="35" t="n">
        <v>8996957.57</v>
      </c>
      <c r="H3" s="35" t="n">
        <v>9246961.26</v>
      </c>
      <c r="I3" s="35" t="n">
        <v>6992476.97</v>
      </c>
      <c r="J3" s="35" t="n">
        <v>6650234.72</v>
      </c>
      <c r="K3" s="36" t="n">
        <v>41.83</v>
      </c>
    </row>
    <row r="4">
      <c r="A4" s="25" t="inlineStr">
        <is>
          <t>Asia Pacific</t>
        </is>
      </c>
      <c r="B4" s="25" t="inlineStr">
        <is>
          <t>Feb</t>
        </is>
      </c>
      <c r="C4" s="26" t="n">
        <v>10885068.85</v>
      </c>
      <c r="D4" s="26" t="n">
        <v>10546001.14</v>
      </c>
      <c r="E4" s="26" t="n">
        <v>-339067.71</v>
      </c>
      <c r="F4" s="27" t="n">
        <v>-3.11</v>
      </c>
      <c r="G4" s="26" t="n">
        <v>7773715.93</v>
      </c>
      <c r="H4" s="26" t="n">
        <v>8234625.069999999</v>
      </c>
      <c r="I4" s="26" t="n">
        <v>3111352.92</v>
      </c>
      <c r="J4" s="26" t="n">
        <v>2311376.07</v>
      </c>
      <c r="K4" s="27" t="n">
        <v>21.92</v>
      </c>
    </row>
    <row r="5">
      <c r="A5" s="28" t="inlineStr">
        <is>
          <t>Asia Pacific</t>
        </is>
      </c>
      <c r="B5" s="28" t="inlineStr">
        <is>
          <t>Mar</t>
        </is>
      </c>
      <c r="C5" s="29" t="n">
        <v>13951225.18</v>
      </c>
      <c r="D5" s="29" t="n">
        <v>13590797.53</v>
      </c>
      <c r="E5" s="29" t="n">
        <v>-360427.65</v>
      </c>
      <c r="F5" s="30" t="n">
        <v>-2.58</v>
      </c>
      <c r="G5" s="29" t="n">
        <v>8829312.08</v>
      </c>
      <c r="H5" s="29" t="n">
        <v>8855999.310000001</v>
      </c>
      <c r="I5" s="29" t="n">
        <v>5121913.100000001</v>
      </c>
      <c r="J5" s="29" t="n">
        <v>4734798.22</v>
      </c>
      <c r="K5" s="30" t="n">
        <v>34.84</v>
      </c>
    </row>
    <row r="6">
      <c r="A6" s="25" t="inlineStr">
        <is>
          <t>Asia Pacific</t>
        </is>
      </c>
      <c r="B6" s="25" t="inlineStr">
        <is>
          <t>Apr</t>
        </is>
      </c>
      <c r="C6" s="26" t="n">
        <v>11404573.82</v>
      </c>
      <c r="D6" s="26" t="n">
        <v>11714020.27</v>
      </c>
      <c r="E6" s="26" t="n">
        <v>309446.45</v>
      </c>
      <c r="F6" s="27" t="n">
        <v>2.71</v>
      </c>
      <c r="G6" s="26" t="n">
        <v>7689127.4</v>
      </c>
      <c r="H6" s="26" t="n">
        <v>7264695.14</v>
      </c>
      <c r="I6" s="26" t="n">
        <v>3715446.42</v>
      </c>
      <c r="J6" s="26" t="n">
        <v>4449325.13</v>
      </c>
      <c r="K6" s="27" t="n">
        <v>37.98</v>
      </c>
    </row>
    <row r="7">
      <c r="A7" s="28" t="inlineStr">
        <is>
          <t>Asia Pacific</t>
        </is>
      </c>
      <c r="B7" s="28" t="inlineStr">
        <is>
          <t>May</t>
        </is>
      </c>
      <c r="C7" s="29" t="n">
        <v>15247169.66</v>
      </c>
      <c r="D7" s="29" t="n">
        <v>14829775.74</v>
      </c>
      <c r="E7" s="29" t="n">
        <v>-417393.92</v>
      </c>
      <c r="F7" s="30" t="n">
        <v>-2.74</v>
      </c>
      <c r="G7" s="29" t="n">
        <v>7977942.74</v>
      </c>
      <c r="H7" s="29" t="n">
        <v>8449030.41</v>
      </c>
      <c r="I7" s="29" t="n">
        <v>7269226.92</v>
      </c>
      <c r="J7" s="29" t="n">
        <v>6380745.33</v>
      </c>
      <c r="K7" s="30" t="n">
        <v>43.03</v>
      </c>
    </row>
    <row r="8">
      <c r="A8" s="25" t="inlineStr">
        <is>
          <t>Asia Pacific</t>
        </is>
      </c>
      <c r="B8" s="25" t="inlineStr">
        <is>
          <t>Jun</t>
        </is>
      </c>
      <c r="C8" s="26" t="n">
        <v>18208970.89</v>
      </c>
      <c r="D8" s="26" t="n">
        <v>18156346.41</v>
      </c>
      <c r="E8" s="26" t="n">
        <v>-52624.48</v>
      </c>
      <c r="F8" s="27" t="n">
        <v>-0.29</v>
      </c>
      <c r="G8" s="26" t="n">
        <v>10292682.58</v>
      </c>
      <c r="H8" s="26" t="n">
        <v>10364874.81</v>
      </c>
      <c r="I8" s="26" t="n">
        <v>7916288.31</v>
      </c>
      <c r="J8" s="26" t="n">
        <v>7791471.6</v>
      </c>
      <c r="K8" s="27" t="n">
        <v>42.91</v>
      </c>
    </row>
    <row r="9">
      <c r="A9" s="28" t="inlineStr">
        <is>
          <t>Asia Pacific</t>
        </is>
      </c>
      <c r="B9" s="28" t="inlineStr">
        <is>
          <t>Jul</t>
        </is>
      </c>
      <c r="C9" s="29" t="n">
        <v>14714850.85</v>
      </c>
      <c r="D9" s="29" t="n">
        <v>15224889.62</v>
      </c>
      <c r="E9" s="29" t="n">
        <v>510038.77</v>
      </c>
      <c r="F9" s="30" t="n">
        <v>3.47</v>
      </c>
      <c r="G9" s="29" t="n">
        <v>9260680.17</v>
      </c>
      <c r="H9" s="29" t="n">
        <v>9144854.789999999</v>
      </c>
      <c r="I9" s="29" t="n">
        <v>5454170.68</v>
      </c>
      <c r="J9" s="29" t="n">
        <v>6080034.83</v>
      </c>
      <c r="K9" s="30" t="n">
        <v>39.93</v>
      </c>
    </row>
    <row r="10">
      <c r="A10" s="25" t="inlineStr">
        <is>
          <t>Asia Pacific</t>
        </is>
      </c>
      <c r="B10" s="25" t="inlineStr">
        <is>
          <t>Aug</t>
        </is>
      </c>
      <c r="C10" s="26" t="n">
        <v>16431544.9</v>
      </c>
      <c r="D10" s="26" t="n">
        <v>15424180.16</v>
      </c>
      <c r="E10" s="26" t="n">
        <v>-1007364.74</v>
      </c>
      <c r="F10" s="27" t="n">
        <v>-6.13</v>
      </c>
      <c r="G10" s="26" t="n">
        <v>9919110.280000001</v>
      </c>
      <c r="H10" s="26" t="n">
        <v>10039671.22</v>
      </c>
      <c r="I10" s="26" t="n">
        <v>6512434.62</v>
      </c>
      <c r="J10" s="26" t="n">
        <v>5384508.939999999</v>
      </c>
      <c r="K10" s="27" t="n">
        <v>34.91</v>
      </c>
    </row>
    <row r="11">
      <c r="A11" s="28" t="inlineStr">
        <is>
          <t>Asia Pacific</t>
        </is>
      </c>
      <c r="B11" s="28" t="inlineStr">
        <is>
          <t>Sep</t>
        </is>
      </c>
      <c r="C11" s="29" t="n">
        <v>13404057.77</v>
      </c>
      <c r="D11" s="29" t="n">
        <v>13464633.45</v>
      </c>
      <c r="E11" s="29" t="n">
        <v>60575.68</v>
      </c>
      <c r="F11" s="30" t="n">
        <v>0.45</v>
      </c>
      <c r="G11" s="29" t="n">
        <v>8041744.060000001</v>
      </c>
      <c r="H11" s="29" t="n">
        <v>8007315.4</v>
      </c>
      <c r="I11" s="29" t="n">
        <v>5362313.71</v>
      </c>
      <c r="J11" s="29" t="n">
        <v>5457318.050000001</v>
      </c>
      <c r="K11" s="30" t="n">
        <v>40.53</v>
      </c>
    </row>
    <row r="12">
      <c r="A12" s="25" t="inlineStr">
        <is>
          <t>Asia Pacific</t>
        </is>
      </c>
      <c r="B12" s="25" t="inlineStr">
        <is>
          <t>Oct</t>
        </is>
      </c>
      <c r="C12" s="26" t="n">
        <v>16442091.7</v>
      </c>
      <c r="D12" s="26" t="n">
        <v>15548294.59</v>
      </c>
      <c r="E12" s="26" t="n">
        <v>-893797.11</v>
      </c>
      <c r="F12" s="27" t="n">
        <v>-5.44</v>
      </c>
      <c r="G12" s="26" t="n">
        <v>9321819.92</v>
      </c>
      <c r="H12" s="26" t="n">
        <v>9902696.109999999</v>
      </c>
      <c r="I12" s="26" t="n">
        <v>7120271.78</v>
      </c>
      <c r="J12" s="26" t="n">
        <v>5645598.48</v>
      </c>
      <c r="K12" s="27" t="n">
        <v>36.31</v>
      </c>
    </row>
    <row r="13">
      <c r="A13" s="28" t="inlineStr">
        <is>
          <t>Asia Pacific</t>
        </is>
      </c>
      <c r="B13" s="28" t="inlineStr">
        <is>
          <t>Nov</t>
        </is>
      </c>
      <c r="C13" s="29" t="n">
        <v>11602315.15</v>
      </c>
      <c r="D13" s="29" t="n">
        <v>11602283.84</v>
      </c>
      <c r="E13" s="29" t="n">
        <v>-31.31</v>
      </c>
      <c r="F13" s="30" t="n">
        <v>-0</v>
      </c>
      <c r="G13" s="29" t="n">
        <v>8023856.83</v>
      </c>
      <c r="H13" s="29" t="n">
        <v>8255626.26</v>
      </c>
      <c r="I13" s="29" t="n">
        <v>3578458.32</v>
      </c>
      <c r="J13" s="29" t="n">
        <v>3346657.58</v>
      </c>
      <c r="K13" s="30" t="n">
        <v>28.84</v>
      </c>
    </row>
    <row r="14">
      <c r="A14" s="25" t="inlineStr">
        <is>
          <t>Asia Pacific</t>
        </is>
      </c>
      <c r="B14" s="25" t="inlineStr">
        <is>
          <t>Dec</t>
        </is>
      </c>
      <c r="C14" s="26" t="n">
        <v>18394646.54</v>
      </c>
      <c r="D14" s="26" t="n">
        <v>18815238.86</v>
      </c>
      <c r="E14" s="26" t="n">
        <v>420592.32</v>
      </c>
      <c r="F14" s="27" t="n">
        <v>2.29</v>
      </c>
      <c r="G14" s="26" t="n">
        <v>10506232.87</v>
      </c>
      <c r="H14" s="26" t="n">
        <v>10122225.08</v>
      </c>
      <c r="I14" s="26" t="n">
        <v>7888413.67</v>
      </c>
      <c r="J14" s="26" t="n">
        <v>8693013.780000001</v>
      </c>
      <c r="K14" s="27" t="n">
        <v>46.2</v>
      </c>
    </row>
    <row r="15">
      <c r="A15" s="34" t="inlineStr">
        <is>
          <t>Europe</t>
        </is>
      </c>
      <c r="B15" s="34" t="inlineStr">
        <is>
          <t>Jan</t>
        </is>
      </c>
      <c r="C15" s="35" t="n">
        <v>17093067.17</v>
      </c>
      <c r="D15" s="35" t="n">
        <v>17499621.06</v>
      </c>
      <c r="E15" s="35" t="n">
        <v>406553.89</v>
      </c>
      <c r="F15" s="36" t="n">
        <v>2.38</v>
      </c>
      <c r="G15" s="35" t="n">
        <v>10365527.61</v>
      </c>
      <c r="H15" s="35" t="n">
        <v>10178366.29</v>
      </c>
      <c r="I15" s="35" t="n">
        <v>6727539.560000001</v>
      </c>
      <c r="J15" s="35" t="n">
        <v>7321254.77</v>
      </c>
      <c r="K15" s="36" t="n">
        <v>41.84</v>
      </c>
    </row>
    <row r="16">
      <c r="A16" s="25" t="inlineStr">
        <is>
          <t>Europe</t>
        </is>
      </c>
      <c r="B16" s="25" t="inlineStr">
        <is>
          <t>Feb</t>
        </is>
      </c>
      <c r="C16" s="26" t="n">
        <v>18458673.36</v>
      </c>
      <c r="D16" s="26" t="n">
        <v>18422268.2</v>
      </c>
      <c r="E16" s="26" t="n">
        <v>-36405.16</v>
      </c>
      <c r="F16" s="27" t="n">
        <v>-0.2</v>
      </c>
      <c r="G16" s="26" t="n">
        <v>11279701.65</v>
      </c>
      <c r="H16" s="26" t="n">
        <v>10782652.25</v>
      </c>
      <c r="I16" s="26" t="n">
        <v>7178971.71</v>
      </c>
      <c r="J16" s="26" t="n">
        <v>7639615.95</v>
      </c>
      <c r="K16" s="27" t="n">
        <v>41.47</v>
      </c>
    </row>
    <row r="17">
      <c r="A17" s="28" t="inlineStr">
        <is>
          <t>Europe</t>
        </is>
      </c>
      <c r="B17" s="28" t="inlineStr">
        <is>
          <t>Mar</t>
        </is>
      </c>
      <c r="C17" s="29" t="n">
        <v>16192978.14</v>
      </c>
      <c r="D17" s="29" t="n">
        <v>15503691.93</v>
      </c>
      <c r="E17" s="29" t="n">
        <v>-689286.21</v>
      </c>
      <c r="F17" s="30" t="n">
        <v>-4.26</v>
      </c>
      <c r="G17" s="29" t="n">
        <v>8599999.1</v>
      </c>
      <c r="H17" s="29" t="n">
        <v>8460646.120000001</v>
      </c>
      <c r="I17" s="29" t="n">
        <v>7592979.04</v>
      </c>
      <c r="J17" s="29" t="n">
        <v>7043045.810000001</v>
      </c>
      <c r="K17" s="30" t="n">
        <v>45.43</v>
      </c>
    </row>
    <row r="18">
      <c r="A18" s="25" t="inlineStr">
        <is>
          <t>Europe</t>
        </is>
      </c>
      <c r="B18" s="25" t="inlineStr">
        <is>
          <t>Apr</t>
        </is>
      </c>
      <c r="C18" s="26" t="n">
        <v>11132168.01</v>
      </c>
      <c r="D18" s="26" t="n">
        <v>11117969.41</v>
      </c>
      <c r="E18" s="26" t="n">
        <v>-14198.6</v>
      </c>
      <c r="F18" s="27" t="n">
        <v>-0.13</v>
      </c>
      <c r="G18" s="26" t="n">
        <v>5827978.96</v>
      </c>
      <c r="H18" s="26" t="n">
        <v>5754205.29</v>
      </c>
      <c r="I18" s="26" t="n">
        <v>5304189.05</v>
      </c>
      <c r="J18" s="26" t="n">
        <v>5363764.12</v>
      </c>
      <c r="K18" s="27" t="n">
        <v>48.24</v>
      </c>
    </row>
    <row r="19">
      <c r="A19" s="28" t="inlineStr">
        <is>
          <t>Europe</t>
        </is>
      </c>
      <c r="B19" s="28" t="inlineStr">
        <is>
          <t>May</t>
        </is>
      </c>
      <c r="C19" s="29" t="n">
        <v>16744358.06</v>
      </c>
      <c r="D19" s="29" t="n">
        <v>16042615.23</v>
      </c>
      <c r="E19" s="29" t="n">
        <v>-701742.83</v>
      </c>
      <c r="F19" s="30" t="n">
        <v>-4.19</v>
      </c>
      <c r="G19" s="29" t="n">
        <v>9487090.65</v>
      </c>
      <c r="H19" s="29" t="n">
        <v>9153596.41</v>
      </c>
      <c r="I19" s="29" t="n">
        <v>7257267.41</v>
      </c>
      <c r="J19" s="29" t="n">
        <v>6889018.82</v>
      </c>
      <c r="K19" s="30" t="n">
        <v>42.94</v>
      </c>
    </row>
    <row r="20">
      <c r="A20" s="25" t="inlineStr">
        <is>
          <t>Europe</t>
        </is>
      </c>
      <c r="B20" s="25" t="inlineStr">
        <is>
          <t>Jun</t>
        </is>
      </c>
      <c r="C20" s="26" t="n">
        <v>19424267.87</v>
      </c>
      <c r="D20" s="26" t="n">
        <v>19351144.27</v>
      </c>
      <c r="E20" s="26" t="n">
        <v>-73123.60000000001</v>
      </c>
      <c r="F20" s="27" t="n">
        <v>-0.38</v>
      </c>
      <c r="G20" s="26" t="n">
        <v>11884253.37</v>
      </c>
      <c r="H20" s="26" t="n">
        <v>12677275.33</v>
      </c>
      <c r="I20" s="26" t="n">
        <v>7540014.5</v>
      </c>
      <c r="J20" s="26" t="n">
        <v>6673868.939999999</v>
      </c>
      <c r="K20" s="27" t="n">
        <v>34.49</v>
      </c>
    </row>
    <row r="21">
      <c r="A21" s="28" t="inlineStr">
        <is>
          <t>Europe</t>
        </is>
      </c>
      <c r="B21" s="28" t="inlineStr">
        <is>
          <t>Jul</t>
        </is>
      </c>
      <c r="C21" s="29" t="n">
        <v>16375503.51</v>
      </c>
      <c r="D21" s="29" t="n">
        <v>16247829.97</v>
      </c>
      <c r="E21" s="29" t="n">
        <v>-127673.54</v>
      </c>
      <c r="F21" s="30" t="n">
        <v>-0.78</v>
      </c>
      <c r="G21" s="29" t="n">
        <v>12158365.77</v>
      </c>
      <c r="H21" s="29" t="n">
        <v>12380184.53</v>
      </c>
      <c r="I21" s="29" t="n">
        <v>4217137.74</v>
      </c>
      <c r="J21" s="29" t="n">
        <v>3867645.44</v>
      </c>
      <c r="K21" s="30" t="n">
        <v>23.8</v>
      </c>
    </row>
    <row r="22">
      <c r="A22" s="25" t="inlineStr">
        <is>
          <t>Europe</t>
        </is>
      </c>
      <c r="B22" s="25" t="inlineStr">
        <is>
          <t>Aug</t>
        </is>
      </c>
      <c r="C22" s="26" t="n">
        <v>16361777.84</v>
      </c>
      <c r="D22" s="26" t="n">
        <v>16526215.53</v>
      </c>
      <c r="E22" s="26" t="n">
        <v>164437.69</v>
      </c>
      <c r="F22" s="27" t="n">
        <v>1.01</v>
      </c>
      <c r="G22" s="26" t="n">
        <v>10203676.74</v>
      </c>
      <c r="H22" s="26" t="n">
        <v>9885627.890000001</v>
      </c>
      <c r="I22" s="26" t="n">
        <v>6158101.1</v>
      </c>
      <c r="J22" s="26" t="n">
        <v>6640587.640000001</v>
      </c>
      <c r="K22" s="27" t="n">
        <v>40.18</v>
      </c>
    </row>
    <row r="23">
      <c r="A23" s="28" t="inlineStr">
        <is>
          <t>Europe</t>
        </is>
      </c>
      <c r="B23" s="28" t="inlineStr">
        <is>
          <t>Sep</t>
        </is>
      </c>
      <c r="C23" s="29" t="n">
        <v>15454896.44</v>
      </c>
      <c r="D23" s="29" t="n">
        <v>15972377.54</v>
      </c>
      <c r="E23" s="29" t="n">
        <v>517481.1</v>
      </c>
      <c r="F23" s="30" t="n">
        <v>3.35</v>
      </c>
      <c r="G23" s="29" t="n">
        <v>9178229.879999999</v>
      </c>
      <c r="H23" s="29" t="n">
        <v>9285585.5</v>
      </c>
      <c r="I23" s="29" t="n">
        <v>6276666.560000001</v>
      </c>
      <c r="J23" s="29" t="n">
        <v>6686792.04</v>
      </c>
      <c r="K23" s="30" t="n">
        <v>41.86</v>
      </c>
    </row>
    <row r="24">
      <c r="A24" s="25" t="inlineStr">
        <is>
          <t>Europe</t>
        </is>
      </c>
      <c r="B24" s="25" t="inlineStr">
        <is>
          <t>Oct</t>
        </is>
      </c>
      <c r="C24" s="26" t="n">
        <v>14191658.19</v>
      </c>
      <c r="D24" s="26" t="n">
        <v>14677351.14</v>
      </c>
      <c r="E24" s="26" t="n">
        <v>485692.95</v>
      </c>
      <c r="F24" s="27" t="n">
        <v>3.42</v>
      </c>
      <c r="G24" s="26" t="n">
        <v>8339231.34</v>
      </c>
      <c r="H24" s="26" t="n">
        <v>7906389.97</v>
      </c>
      <c r="I24" s="26" t="n">
        <v>5852426.85</v>
      </c>
      <c r="J24" s="26" t="n">
        <v>6770961.17</v>
      </c>
      <c r="K24" s="27" t="n">
        <v>46.13</v>
      </c>
    </row>
    <row r="25">
      <c r="A25" s="28" t="inlineStr">
        <is>
          <t>Europe</t>
        </is>
      </c>
      <c r="B25" s="28" t="inlineStr">
        <is>
          <t>Nov</t>
        </is>
      </c>
      <c r="C25" s="29" t="n">
        <v>14694226.36</v>
      </c>
      <c r="D25" s="29" t="n">
        <v>14937382.95</v>
      </c>
      <c r="E25" s="29" t="n">
        <v>243156.59</v>
      </c>
      <c r="F25" s="30" t="n">
        <v>1.65</v>
      </c>
      <c r="G25" s="29" t="n">
        <v>9249089.33</v>
      </c>
      <c r="H25" s="29" t="n">
        <v>9033114.539999999</v>
      </c>
      <c r="I25" s="29" t="n">
        <v>5445137.029999999</v>
      </c>
      <c r="J25" s="29" t="n">
        <v>5904268.41</v>
      </c>
      <c r="K25" s="30" t="n">
        <v>39.53</v>
      </c>
    </row>
    <row r="26">
      <c r="A26" s="25" t="inlineStr">
        <is>
          <t>Europe</t>
        </is>
      </c>
      <c r="B26" s="25" t="inlineStr">
        <is>
          <t>Dec</t>
        </is>
      </c>
      <c r="C26" s="26" t="n">
        <v>14011945.28</v>
      </c>
      <c r="D26" s="26" t="n">
        <v>13896365.38</v>
      </c>
      <c r="E26" s="26" t="n">
        <v>-115579.9</v>
      </c>
      <c r="F26" s="27" t="n">
        <v>-0.82</v>
      </c>
      <c r="G26" s="26" t="n">
        <v>8646725.1</v>
      </c>
      <c r="H26" s="26" t="n">
        <v>8734672.68</v>
      </c>
      <c r="I26" s="26" t="n">
        <v>5365220.18</v>
      </c>
      <c r="J26" s="26" t="n">
        <v>5161692.7</v>
      </c>
      <c r="K26" s="27" t="n">
        <v>37.14</v>
      </c>
    </row>
    <row r="27">
      <c r="A27" s="34" t="inlineStr">
        <is>
          <t>Latin America</t>
        </is>
      </c>
      <c r="B27" s="34" t="inlineStr">
        <is>
          <t>Jan</t>
        </is>
      </c>
      <c r="C27" s="35" t="n">
        <v>17635064.05</v>
      </c>
      <c r="D27" s="35" t="n">
        <v>18183550.62</v>
      </c>
      <c r="E27" s="35" t="n">
        <v>548486.5699999999</v>
      </c>
      <c r="F27" s="36" t="n">
        <v>3.11</v>
      </c>
      <c r="G27" s="35" t="n">
        <v>10894847.86</v>
      </c>
      <c r="H27" s="35" t="n">
        <v>10552537.47</v>
      </c>
      <c r="I27" s="35" t="n">
        <v>6740216.19</v>
      </c>
      <c r="J27" s="35" t="n">
        <v>7631013.15</v>
      </c>
      <c r="K27" s="36" t="n">
        <v>41.97</v>
      </c>
    </row>
    <row r="28">
      <c r="A28" s="25" t="inlineStr">
        <is>
          <t>Latin America</t>
        </is>
      </c>
      <c r="B28" s="25" t="inlineStr">
        <is>
          <t>Feb</t>
        </is>
      </c>
      <c r="C28" s="26" t="n">
        <v>12109029.97</v>
      </c>
      <c r="D28" s="26" t="n">
        <v>13134295.14</v>
      </c>
      <c r="E28" s="26" t="n">
        <v>1025265.17</v>
      </c>
      <c r="F28" s="27" t="n">
        <v>8.470000000000001</v>
      </c>
      <c r="G28" s="26" t="n">
        <v>7378975.810000001</v>
      </c>
      <c r="H28" s="26" t="n">
        <v>7017930.92</v>
      </c>
      <c r="I28" s="26" t="n">
        <v>4730054.16</v>
      </c>
      <c r="J28" s="26" t="n">
        <v>6116364.220000001</v>
      </c>
      <c r="K28" s="27" t="n">
        <v>46.57</v>
      </c>
    </row>
    <row r="29">
      <c r="A29" s="28" t="inlineStr">
        <is>
          <t>Latin America</t>
        </is>
      </c>
      <c r="B29" s="28" t="inlineStr">
        <is>
          <t>Mar</t>
        </is>
      </c>
      <c r="C29" s="29" t="n">
        <v>15278977.56</v>
      </c>
      <c r="D29" s="29" t="n">
        <v>15285536.24</v>
      </c>
      <c r="E29" s="29" t="n">
        <v>6558.68</v>
      </c>
      <c r="F29" s="30" t="n">
        <v>0.04</v>
      </c>
      <c r="G29" s="29" t="n">
        <v>8841718.6</v>
      </c>
      <c r="H29" s="29" t="n">
        <v>8391716.24</v>
      </c>
      <c r="I29" s="29" t="n">
        <v>6437258.96</v>
      </c>
      <c r="J29" s="29" t="n">
        <v>6893820</v>
      </c>
      <c r="K29" s="30" t="n">
        <v>45.1</v>
      </c>
    </row>
    <row r="30">
      <c r="A30" s="25" t="inlineStr">
        <is>
          <t>Latin America</t>
        </is>
      </c>
      <c r="B30" s="25" t="inlineStr">
        <is>
          <t>Apr</t>
        </is>
      </c>
      <c r="C30" s="26" t="n">
        <v>18306574.69</v>
      </c>
      <c r="D30" s="26" t="n">
        <v>17701080.38</v>
      </c>
      <c r="E30" s="26" t="n">
        <v>-605494.3100000001</v>
      </c>
      <c r="F30" s="27" t="n">
        <v>-3.31</v>
      </c>
      <c r="G30" s="26" t="n">
        <v>12034825.55</v>
      </c>
      <c r="H30" s="26" t="n">
        <v>12500344.05</v>
      </c>
      <c r="I30" s="26" t="n">
        <v>6271749.140000001</v>
      </c>
      <c r="J30" s="26" t="n">
        <v>5200736.33</v>
      </c>
      <c r="K30" s="27" t="n">
        <v>29.38</v>
      </c>
    </row>
    <row r="31">
      <c r="A31" s="28" t="inlineStr">
        <is>
          <t>Latin America</t>
        </is>
      </c>
      <c r="B31" s="28" t="inlineStr">
        <is>
          <t>May</t>
        </is>
      </c>
      <c r="C31" s="29" t="n">
        <v>16100572.98</v>
      </c>
      <c r="D31" s="29" t="n">
        <v>16407803.69</v>
      </c>
      <c r="E31" s="29" t="n">
        <v>307230.71</v>
      </c>
      <c r="F31" s="30" t="n">
        <v>1.91</v>
      </c>
      <c r="G31" s="29" t="n">
        <v>9510748.27</v>
      </c>
      <c r="H31" s="29" t="n">
        <v>9800611.35</v>
      </c>
      <c r="I31" s="29" t="n">
        <v>6589824.71</v>
      </c>
      <c r="J31" s="29" t="n">
        <v>6607192.34</v>
      </c>
      <c r="K31" s="30" t="n">
        <v>40.27</v>
      </c>
    </row>
    <row r="32">
      <c r="A32" s="25" t="inlineStr">
        <is>
          <t>Latin America</t>
        </is>
      </c>
      <c r="B32" s="25" t="inlineStr">
        <is>
          <t>Jun</t>
        </is>
      </c>
      <c r="C32" s="26" t="n">
        <v>8224303.35</v>
      </c>
      <c r="D32" s="26" t="n">
        <v>8667720.640000001</v>
      </c>
      <c r="E32" s="26" t="n">
        <v>443417.29</v>
      </c>
      <c r="F32" s="27" t="n">
        <v>5.39</v>
      </c>
      <c r="G32" s="26" t="n">
        <v>5139778.13</v>
      </c>
      <c r="H32" s="26" t="n">
        <v>5189752.53</v>
      </c>
      <c r="I32" s="26" t="n">
        <v>3084525.22</v>
      </c>
      <c r="J32" s="26" t="n">
        <v>3477968.11</v>
      </c>
      <c r="K32" s="27" t="n">
        <v>40.13</v>
      </c>
    </row>
    <row r="33">
      <c r="A33" s="28" t="inlineStr">
        <is>
          <t>Latin America</t>
        </is>
      </c>
      <c r="B33" s="28" t="inlineStr">
        <is>
          <t>Jul</t>
        </is>
      </c>
      <c r="C33" s="29" t="n">
        <v>16406340.21</v>
      </c>
      <c r="D33" s="29" t="n">
        <v>16708205.36</v>
      </c>
      <c r="E33" s="29" t="n">
        <v>301865.15</v>
      </c>
      <c r="F33" s="30" t="n">
        <v>1.84</v>
      </c>
      <c r="G33" s="29" t="n">
        <v>9314854.640000001</v>
      </c>
      <c r="H33" s="29" t="n">
        <v>8852173.91</v>
      </c>
      <c r="I33" s="29" t="n">
        <v>7091485.57</v>
      </c>
      <c r="J33" s="29" t="n">
        <v>7856031.45</v>
      </c>
      <c r="K33" s="30" t="n">
        <v>47.02</v>
      </c>
    </row>
    <row r="34">
      <c r="A34" s="25" t="inlineStr">
        <is>
          <t>Latin America</t>
        </is>
      </c>
      <c r="B34" s="25" t="inlineStr">
        <is>
          <t>Aug</t>
        </is>
      </c>
      <c r="C34" s="26" t="n">
        <v>18785933.8</v>
      </c>
      <c r="D34" s="26" t="n">
        <v>18105616.38</v>
      </c>
      <c r="E34" s="26" t="n">
        <v>-680317.42</v>
      </c>
      <c r="F34" s="27" t="n">
        <v>-3.62</v>
      </c>
      <c r="G34" s="26" t="n">
        <v>9723152.550000001</v>
      </c>
      <c r="H34" s="26" t="n">
        <v>9712383.779999999</v>
      </c>
      <c r="I34" s="26" t="n">
        <v>9062781.25</v>
      </c>
      <c r="J34" s="26" t="n">
        <v>8393232.6</v>
      </c>
      <c r="K34" s="27" t="n">
        <v>46.36</v>
      </c>
    </row>
    <row r="35">
      <c r="A35" s="28" t="inlineStr">
        <is>
          <t>Latin America</t>
        </is>
      </c>
      <c r="B35" s="28" t="inlineStr">
        <is>
          <t>Sep</t>
        </is>
      </c>
      <c r="C35" s="29" t="n">
        <v>14362210.52</v>
      </c>
      <c r="D35" s="29" t="n">
        <v>14770135.21</v>
      </c>
      <c r="E35" s="29" t="n">
        <v>407924.69</v>
      </c>
      <c r="F35" s="30" t="n">
        <v>2.84</v>
      </c>
      <c r="G35" s="29" t="n">
        <v>8654771.66</v>
      </c>
      <c r="H35" s="29" t="n">
        <v>8776083.119999999</v>
      </c>
      <c r="I35" s="29" t="n">
        <v>5707438.86</v>
      </c>
      <c r="J35" s="29" t="n">
        <v>5994052.09</v>
      </c>
      <c r="K35" s="30" t="n">
        <v>40.58</v>
      </c>
    </row>
    <row r="36">
      <c r="A36" s="25" t="inlineStr">
        <is>
          <t>Latin America</t>
        </is>
      </c>
      <c r="B36" s="25" t="inlineStr">
        <is>
          <t>Oct</t>
        </is>
      </c>
      <c r="C36" s="26" t="n">
        <v>8835799.869999999</v>
      </c>
      <c r="D36" s="26" t="n">
        <v>9312651.41</v>
      </c>
      <c r="E36" s="26" t="n">
        <v>476851.54</v>
      </c>
      <c r="F36" s="27" t="n">
        <v>5.4</v>
      </c>
      <c r="G36" s="26" t="n">
        <v>5414893.53</v>
      </c>
      <c r="H36" s="26" t="n">
        <v>5296416.310000001</v>
      </c>
      <c r="I36" s="26" t="n">
        <v>3420906.34</v>
      </c>
      <c r="J36" s="26" t="n">
        <v>4016235.1</v>
      </c>
      <c r="K36" s="27" t="n">
        <v>43.13</v>
      </c>
    </row>
    <row r="37">
      <c r="A37" s="28" t="inlineStr">
        <is>
          <t>Latin America</t>
        </is>
      </c>
      <c r="B37" s="28" t="inlineStr">
        <is>
          <t>Nov</t>
        </is>
      </c>
      <c r="C37" s="29" t="n">
        <v>13539749.93</v>
      </c>
      <c r="D37" s="29" t="n">
        <v>13909859.54</v>
      </c>
      <c r="E37" s="29" t="n">
        <v>370109.61</v>
      </c>
      <c r="F37" s="30" t="n">
        <v>2.73</v>
      </c>
      <c r="G37" s="29" t="n">
        <v>9029144.92</v>
      </c>
      <c r="H37" s="29" t="n">
        <v>9011158.17</v>
      </c>
      <c r="I37" s="29" t="n">
        <v>4510605.01</v>
      </c>
      <c r="J37" s="29" t="n">
        <v>4898701.37</v>
      </c>
      <c r="K37" s="30" t="n">
        <v>35.22</v>
      </c>
    </row>
    <row r="38">
      <c r="A38" s="25" t="inlineStr">
        <is>
          <t>Latin America</t>
        </is>
      </c>
      <c r="B38" s="25" t="inlineStr">
        <is>
          <t>Dec</t>
        </is>
      </c>
      <c r="C38" s="26" t="n">
        <v>13722238.51</v>
      </c>
      <c r="D38" s="26" t="n">
        <v>14229577.87</v>
      </c>
      <c r="E38" s="26" t="n">
        <v>507339.36</v>
      </c>
      <c r="F38" s="27" t="n">
        <v>3.7</v>
      </c>
      <c r="G38" s="26" t="n">
        <v>8207224.41</v>
      </c>
      <c r="H38" s="26" t="n">
        <v>8053495.819999999</v>
      </c>
      <c r="I38" s="26" t="n">
        <v>5515014.1</v>
      </c>
      <c r="J38" s="26" t="n">
        <v>6176082.05</v>
      </c>
      <c r="K38" s="27" t="n">
        <v>43.4</v>
      </c>
    </row>
    <row r="39">
      <c r="A39" s="34" t="inlineStr">
        <is>
          <t>Middle East</t>
        </is>
      </c>
      <c r="B39" s="34" t="inlineStr">
        <is>
          <t>Jan</t>
        </is>
      </c>
      <c r="C39" s="35" t="n">
        <v>15884017.79</v>
      </c>
      <c r="D39" s="35" t="n">
        <v>16167576.93</v>
      </c>
      <c r="E39" s="35" t="n">
        <v>283559.14</v>
      </c>
      <c r="F39" s="36" t="n">
        <v>1.79</v>
      </c>
      <c r="G39" s="35" t="n">
        <v>8946861.16</v>
      </c>
      <c r="H39" s="35" t="n">
        <v>9087484.41</v>
      </c>
      <c r="I39" s="35" t="n">
        <v>6937156.630000001</v>
      </c>
      <c r="J39" s="35" t="n">
        <v>7080092.52</v>
      </c>
      <c r="K39" s="36" t="n">
        <v>43.79</v>
      </c>
    </row>
    <row r="40">
      <c r="A40" s="25" t="inlineStr">
        <is>
          <t>Middle East</t>
        </is>
      </c>
      <c r="B40" s="25" t="inlineStr">
        <is>
          <t>Feb</t>
        </is>
      </c>
      <c r="C40" s="26" t="n">
        <v>15198158.05</v>
      </c>
      <c r="D40" s="26" t="n">
        <v>15722027.26</v>
      </c>
      <c r="E40" s="26" t="n">
        <v>523869.21</v>
      </c>
      <c r="F40" s="27" t="n">
        <v>3.45</v>
      </c>
      <c r="G40" s="26" t="n">
        <v>8496692.460000001</v>
      </c>
      <c r="H40" s="26" t="n">
        <v>8174317.890000001</v>
      </c>
      <c r="I40" s="26" t="n">
        <v>6701465.59</v>
      </c>
      <c r="J40" s="26" t="n">
        <v>7547709.37</v>
      </c>
      <c r="K40" s="27" t="n">
        <v>48.01</v>
      </c>
    </row>
    <row r="41">
      <c r="A41" s="28" t="inlineStr">
        <is>
          <t>Middle East</t>
        </is>
      </c>
      <c r="B41" s="28" t="inlineStr">
        <is>
          <t>Mar</t>
        </is>
      </c>
      <c r="C41" s="29" t="n">
        <v>15215008.29</v>
      </c>
      <c r="D41" s="29" t="n">
        <v>15736983.73</v>
      </c>
      <c r="E41" s="29" t="n">
        <v>521975.44</v>
      </c>
      <c r="F41" s="30" t="n">
        <v>3.43</v>
      </c>
      <c r="G41" s="29" t="n">
        <v>9160868.75</v>
      </c>
      <c r="H41" s="29" t="n">
        <v>9366527.01</v>
      </c>
      <c r="I41" s="29" t="n">
        <v>6054139.54</v>
      </c>
      <c r="J41" s="29" t="n">
        <v>6370456.720000001</v>
      </c>
      <c r="K41" s="30" t="n">
        <v>40.48</v>
      </c>
    </row>
    <row r="42">
      <c r="A42" s="25" t="inlineStr">
        <is>
          <t>Middle East</t>
        </is>
      </c>
      <c r="B42" s="25" t="inlineStr">
        <is>
          <t>Apr</t>
        </is>
      </c>
      <c r="C42" s="26" t="n">
        <v>16463104.58</v>
      </c>
      <c r="D42" s="26" t="n">
        <v>16467775.3</v>
      </c>
      <c r="E42" s="26" t="n">
        <v>4670.72</v>
      </c>
      <c r="F42" s="27" t="n">
        <v>0.03</v>
      </c>
      <c r="G42" s="26" t="n">
        <v>8322417.640000001</v>
      </c>
      <c r="H42" s="26" t="n">
        <v>8905510.59</v>
      </c>
      <c r="I42" s="26" t="n">
        <v>8140686.94</v>
      </c>
      <c r="J42" s="26" t="n">
        <v>7562264.710000001</v>
      </c>
      <c r="K42" s="27" t="n">
        <v>45.92</v>
      </c>
    </row>
    <row r="43">
      <c r="A43" s="28" t="inlineStr">
        <is>
          <t>Middle East</t>
        </is>
      </c>
      <c r="B43" s="28" t="inlineStr">
        <is>
          <t>May</t>
        </is>
      </c>
      <c r="C43" s="29" t="n">
        <v>13755286.1</v>
      </c>
      <c r="D43" s="29" t="n">
        <v>14359813.34</v>
      </c>
      <c r="E43" s="29" t="n">
        <v>604527.24</v>
      </c>
      <c r="F43" s="30" t="n">
        <v>4.39</v>
      </c>
      <c r="G43" s="29" t="n">
        <v>7868688.78</v>
      </c>
      <c r="H43" s="29" t="n">
        <v>7813653.9</v>
      </c>
      <c r="I43" s="29" t="n">
        <v>5886597.32</v>
      </c>
      <c r="J43" s="29" t="n">
        <v>6546159.439999999</v>
      </c>
      <c r="K43" s="30" t="n">
        <v>45.59</v>
      </c>
    </row>
    <row r="44">
      <c r="A44" s="25" t="inlineStr">
        <is>
          <t>Middle East</t>
        </is>
      </c>
      <c r="B44" s="25" t="inlineStr">
        <is>
          <t>Jun</t>
        </is>
      </c>
      <c r="C44" s="26" t="n">
        <v>9501380.689999999</v>
      </c>
      <c r="D44" s="26" t="n">
        <v>9079604.99</v>
      </c>
      <c r="E44" s="26" t="n">
        <v>-421775.7</v>
      </c>
      <c r="F44" s="27" t="n">
        <v>-4.44</v>
      </c>
      <c r="G44" s="26" t="n">
        <v>6412625.02</v>
      </c>
      <c r="H44" s="26" t="n">
        <v>6527146.89</v>
      </c>
      <c r="I44" s="26" t="n">
        <v>3088755.67</v>
      </c>
      <c r="J44" s="26" t="n">
        <v>2552458.1</v>
      </c>
      <c r="K44" s="27" t="n">
        <v>28.11</v>
      </c>
    </row>
    <row r="45">
      <c r="A45" s="28" t="inlineStr">
        <is>
          <t>Middle East</t>
        </is>
      </c>
      <c r="B45" s="28" t="inlineStr">
        <is>
          <t>Jul</t>
        </is>
      </c>
      <c r="C45" s="29" t="n">
        <v>11132696.16</v>
      </c>
      <c r="D45" s="29" t="n">
        <v>11230188.41</v>
      </c>
      <c r="E45" s="29" t="n">
        <v>97492.25</v>
      </c>
      <c r="F45" s="30" t="n">
        <v>0.88</v>
      </c>
      <c r="G45" s="29" t="n">
        <v>6320243.35</v>
      </c>
      <c r="H45" s="29" t="n">
        <v>5991319.05</v>
      </c>
      <c r="I45" s="29" t="n">
        <v>4812452.810000001</v>
      </c>
      <c r="J45" s="29" t="n">
        <v>5238869.359999999</v>
      </c>
      <c r="K45" s="30" t="n">
        <v>46.65</v>
      </c>
    </row>
    <row r="46">
      <c r="A46" s="25" t="inlineStr">
        <is>
          <t>Middle East</t>
        </is>
      </c>
      <c r="B46" s="25" t="inlineStr">
        <is>
          <t>Aug</t>
        </is>
      </c>
      <c r="C46" s="26" t="n">
        <v>9775206.529999999</v>
      </c>
      <c r="D46" s="26" t="n">
        <v>9703689.109999999</v>
      </c>
      <c r="E46" s="26" t="n">
        <v>-71517.42</v>
      </c>
      <c r="F46" s="27" t="n">
        <v>-0.73</v>
      </c>
      <c r="G46" s="26" t="n">
        <v>5986718.78</v>
      </c>
      <c r="H46" s="26" t="n">
        <v>5800070.84</v>
      </c>
      <c r="I46" s="26" t="n">
        <v>3788487.75</v>
      </c>
      <c r="J46" s="26" t="n">
        <v>3903618.27</v>
      </c>
      <c r="K46" s="27" t="n">
        <v>40.23</v>
      </c>
    </row>
    <row r="47">
      <c r="A47" s="28" t="inlineStr">
        <is>
          <t>Middle East</t>
        </is>
      </c>
      <c r="B47" s="28" t="inlineStr">
        <is>
          <t>Sep</t>
        </is>
      </c>
      <c r="C47" s="29" t="n">
        <v>17844006.05</v>
      </c>
      <c r="D47" s="29" t="n">
        <v>18048096.76</v>
      </c>
      <c r="E47" s="29" t="n">
        <v>204090.71</v>
      </c>
      <c r="F47" s="30" t="n">
        <v>1.14</v>
      </c>
      <c r="G47" s="29" t="n">
        <v>10844684.53</v>
      </c>
      <c r="H47" s="29" t="n">
        <v>10235301.06</v>
      </c>
      <c r="I47" s="29" t="n">
        <v>6999321.52</v>
      </c>
      <c r="J47" s="29" t="n">
        <v>7812795.699999999</v>
      </c>
      <c r="K47" s="30" t="n">
        <v>43.29</v>
      </c>
    </row>
    <row r="48">
      <c r="A48" s="25" t="inlineStr">
        <is>
          <t>Middle East</t>
        </is>
      </c>
      <c r="B48" s="25" t="inlineStr">
        <is>
          <t>Oct</t>
        </is>
      </c>
      <c r="C48" s="26" t="n">
        <v>16855498.83</v>
      </c>
      <c r="D48" s="26" t="n">
        <v>17746270.38</v>
      </c>
      <c r="E48" s="26" t="n">
        <v>890771.55</v>
      </c>
      <c r="F48" s="27" t="n">
        <v>5.28</v>
      </c>
      <c r="G48" s="26" t="n">
        <v>10177134.56</v>
      </c>
      <c r="H48" s="26" t="n">
        <v>10534685.52</v>
      </c>
      <c r="I48" s="26" t="n">
        <v>6678364.27</v>
      </c>
      <c r="J48" s="26" t="n">
        <v>7211584.859999999</v>
      </c>
      <c r="K48" s="27" t="n">
        <v>40.64</v>
      </c>
    </row>
    <row r="49">
      <c r="A49" s="28" t="inlineStr">
        <is>
          <t>Middle East</t>
        </is>
      </c>
      <c r="B49" s="28" t="inlineStr">
        <is>
          <t>Nov</t>
        </is>
      </c>
      <c r="C49" s="29" t="n">
        <v>14008253.91</v>
      </c>
      <c r="D49" s="29" t="n">
        <v>13629999.12</v>
      </c>
      <c r="E49" s="29" t="n">
        <v>-378254.79</v>
      </c>
      <c r="F49" s="30" t="n">
        <v>-2.7</v>
      </c>
      <c r="G49" s="29" t="n">
        <v>8572279.530000001</v>
      </c>
      <c r="H49" s="29" t="n">
        <v>8384917.87</v>
      </c>
      <c r="I49" s="29" t="n">
        <v>5435974.38</v>
      </c>
      <c r="J49" s="29" t="n">
        <v>5245081.25</v>
      </c>
      <c r="K49" s="30" t="n">
        <v>38.48</v>
      </c>
    </row>
    <row r="50">
      <c r="A50" s="25" t="inlineStr">
        <is>
          <t>Middle East</t>
        </is>
      </c>
      <c r="B50" s="25" t="inlineStr">
        <is>
          <t>Dec</t>
        </is>
      </c>
      <c r="C50" s="26" t="n">
        <v>14691521.48</v>
      </c>
      <c r="D50" s="26" t="n">
        <v>14230157.23</v>
      </c>
      <c r="E50" s="26" t="n">
        <v>-461364.25</v>
      </c>
      <c r="F50" s="27" t="n">
        <v>-3.14</v>
      </c>
      <c r="G50" s="26" t="n">
        <v>8853866.93</v>
      </c>
      <c r="H50" s="26" t="n">
        <v>9107946.450000001</v>
      </c>
      <c r="I50" s="26" t="n">
        <v>5837654.55</v>
      </c>
      <c r="J50" s="26" t="n">
        <v>5122210.78</v>
      </c>
      <c r="K50" s="27" t="n">
        <v>36</v>
      </c>
    </row>
    <row r="51">
      <c r="A51" s="34" t="inlineStr">
        <is>
          <t>North America</t>
        </is>
      </c>
      <c r="B51" s="34" t="inlineStr">
        <is>
          <t>Jan</t>
        </is>
      </c>
      <c r="C51" s="35" t="n">
        <v>17627832.34</v>
      </c>
      <c r="D51" s="35" t="n">
        <v>16695077.2</v>
      </c>
      <c r="E51" s="35" t="n">
        <v>-932755.14</v>
      </c>
      <c r="F51" s="36" t="n">
        <v>-5.29</v>
      </c>
      <c r="G51" s="35" t="n">
        <v>8829464.390000001</v>
      </c>
      <c r="H51" s="35" t="n">
        <v>8831098.779999999</v>
      </c>
      <c r="I51" s="35" t="n">
        <v>8798367.949999999</v>
      </c>
      <c r="J51" s="35" t="n">
        <v>7863978.42</v>
      </c>
      <c r="K51" s="36" t="n">
        <v>47.1</v>
      </c>
    </row>
    <row r="52">
      <c r="A52" s="25" t="inlineStr">
        <is>
          <t>North America</t>
        </is>
      </c>
      <c r="B52" s="25" t="inlineStr">
        <is>
          <t>Feb</t>
        </is>
      </c>
      <c r="C52" s="26" t="n">
        <v>14607818.18</v>
      </c>
      <c r="D52" s="26" t="n">
        <v>14260802.37</v>
      </c>
      <c r="E52" s="26" t="n">
        <v>-347015.81</v>
      </c>
      <c r="F52" s="27" t="n">
        <v>-2.38</v>
      </c>
      <c r="G52" s="26" t="n">
        <v>8365207.1</v>
      </c>
      <c r="H52" s="26" t="n">
        <v>8297927.97</v>
      </c>
      <c r="I52" s="26" t="n">
        <v>6242611.08</v>
      </c>
      <c r="J52" s="26" t="n">
        <v>5962874.4</v>
      </c>
      <c r="K52" s="27" t="n">
        <v>41.81</v>
      </c>
    </row>
    <row r="53">
      <c r="A53" s="28" t="inlineStr">
        <is>
          <t>North America</t>
        </is>
      </c>
      <c r="B53" s="28" t="inlineStr">
        <is>
          <t>Mar</t>
        </is>
      </c>
      <c r="C53" s="29" t="n">
        <v>11502946.32</v>
      </c>
      <c r="D53" s="29" t="n">
        <v>12240090.34</v>
      </c>
      <c r="E53" s="29" t="n">
        <v>737144.02</v>
      </c>
      <c r="F53" s="30" t="n">
        <v>6.41</v>
      </c>
      <c r="G53" s="29" t="n">
        <v>6887322.36</v>
      </c>
      <c r="H53" s="29" t="n">
        <v>6723762.53</v>
      </c>
      <c r="I53" s="29" t="n">
        <v>4615623.96</v>
      </c>
      <c r="J53" s="29" t="n">
        <v>5516327.81</v>
      </c>
      <c r="K53" s="30" t="n">
        <v>45.07</v>
      </c>
    </row>
    <row r="54">
      <c r="A54" s="25" t="inlineStr">
        <is>
          <t>North America</t>
        </is>
      </c>
      <c r="B54" s="25" t="inlineStr">
        <is>
          <t>Apr</t>
        </is>
      </c>
      <c r="C54" s="26" t="n">
        <v>16925235.11</v>
      </c>
      <c r="D54" s="26" t="n">
        <v>16430121.17</v>
      </c>
      <c r="E54" s="26" t="n">
        <v>-495113.94</v>
      </c>
      <c r="F54" s="27" t="n">
        <v>-2.93</v>
      </c>
      <c r="G54" s="26" t="n">
        <v>9872107.24</v>
      </c>
      <c r="H54" s="26" t="n">
        <v>9904648.49</v>
      </c>
      <c r="I54" s="26" t="n">
        <v>7053127.87</v>
      </c>
      <c r="J54" s="26" t="n">
        <v>6525472.68</v>
      </c>
      <c r="K54" s="27" t="n">
        <v>39.72</v>
      </c>
    </row>
    <row r="55">
      <c r="A55" s="28" t="inlineStr">
        <is>
          <t>North America</t>
        </is>
      </c>
      <c r="B55" s="28" t="inlineStr">
        <is>
          <t>May</t>
        </is>
      </c>
      <c r="C55" s="29" t="n">
        <v>13472045.16</v>
      </c>
      <c r="D55" s="29" t="n">
        <v>12790582.77</v>
      </c>
      <c r="E55" s="29" t="n">
        <v>-681462.39</v>
      </c>
      <c r="F55" s="30" t="n">
        <v>-5.06</v>
      </c>
      <c r="G55" s="29" t="n">
        <v>8794071.16</v>
      </c>
      <c r="H55" s="29" t="n">
        <v>8585723.859999999</v>
      </c>
      <c r="I55" s="29" t="n">
        <v>4677974</v>
      </c>
      <c r="J55" s="29" t="n">
        <v>4204858.91</v>
      </c>
      <c r="K55" s="30" t="n">
        <v>32.87</v>
      </c>
    </row>
    <row r="56">
      <c r="A56" s="25" t="inlineStr">
        <is>
          <t>North America</t>
        </is>
      </c>
      <c r="B56" s="25" t="inlineStr">
        <is>
          <t>Jun</t>
        </is>
      </c>
      <c r="C56" s="26" t="n">
        <v>13799251.09</v>
      </c>
      <c r="D56" s="26" t="n">
        <v>14380520.06</v>
      </c>
      <c r="E56" s="26" t="n">
        <v>581268.97</v>
      </c>
      <c r="F56" s="27" t="n">
        <v>4.21</v>
      </c>
      <c r="G56" s="26" t="n">
        <v>8012886.84</v>
      </c>
      <c r="H56" s="26" t="n">
        <v>8106304.43</v>
      </c>
      <c r="I56" s="26" t="n">
        <v>5786364.25</v>
      </c>
      <c r="J56" s="26" t="n">
        <v>6274215.630000001</v>
      </c>
      <c r="K56" s="27" t="n">
        <v>43.63</v>
      </c>
    </row>
    <row r="57">
      <c r="A57" s="28" t="inlineStr">
        <is>
          <t>North America</t>
        </is>
      </c>
      <c r="B57" s="28" t="inlineStr">
        <is>
          <t>Jul</t>
        </is>
      </c>
      <c r="C57" s="29" t="n">
        <v>18073362.85</v>
      </c>
      <c r="D57" s="29" t="n">
        <v>18665007.48</v>
      </c>
      <c r="E57" s="29" t="n">
        <v>591644.63</v>
      </c>
      <c r="F57" s="30" t="n">
        <v>3.27</v>
      </c>
      <c r="G57" s="29" t="n">
        <v>10938702.61</v>
      </c>
      <c r="H57" s="29" t="n">
        <v>11305457.79</v>
      </c>
      <c r="I57" s="29" t="n">
        <v>7134660.24</v>
      </c>
      <c r="J57" s="29" t="n">
        <v>7359549.689999999</v>
      </c>
      <c r="K57" s="30" t="n">
        <v>39.43</v>
      </c>
    </row>
    <row r="58">
      <c r="A58" s="25" t="inlineStr">
        <is>
          <t>North America</t>
        </is>
      </c>
      <c r="B58" s="25" t="inlineStr">
        <is>
          <t>Aug</t>
        </is>
      </c>
      <c r="C58" s="26" t="n">
        <v>14103427.7</v>
      </c>
      <c r="D58" s="26" t="n">
        <v>14224083.46</v>
      </c>
      <c r="E58" s="26" t="n">
        <v>120655.76</v>
      </c>
      <c r="F58" s="27" t="n">
        <v>0.86</v>
      </c>
      <c r="G58" s="26" t="n">
        <v>10065698.87</v>
      </c>
      <c r="H58" s="26" t="n">
        <v>9214037.18</v>
      </c>
      <c r="I58" s="26" t="n">
        <v>4037728.83</v>
      </c>
      <c r="J58" s="26" t="n">
        <v>5010046.279999999</v>
      </c>
      <c r="K58" s="27" t="n">
        <v>35.22</v>
      </c>
    </row>
    <row r="59">
      <c r="A59" s="28" t="inlineStr">
        <is>
          <t>North America</t>
        </is>
      </c>
      <c r="B59" s="28" t="inlineStr">
        <is>
          <t>Sep</t>
        </is>
      </c>
      <c r="C59" s="29" t="n">
        <v>17012497.01</v>
      </c>
      <c r="D59" s="29" t="n">
        <v>17767064.77</v>
      </c>
      <c r="E59" s="29" t="n">
        <v>754567.76</v>
      </c>
      <c r="F59" s="30" t="n">
        <v>4.44</v>
      </c>
      <c r="G59" s="29" t="n">
        <v>9210039.15</v>
      </c>
      <c r="H59" s="29" t="n">
        <v>9125789.370000001</v>
      </c>
      <c r="I59" s="29" t="n">
        <v>7802457.859999999</v>
      </c>
      <c r="J59" s="29" t="n">
        <v>8641275.4</v>
      </c>
      <c r="K59" s="30" t="n">
        <v>48.64</v>
      </c>
    </row>
    <row r="60">
      <c r="A60" s="25" t="inlineStr">
        <is>
          <t>North America</t>
        </is>
      </c>
      <c r="B60" s="25" t="inlineStr">
        <is>
          <t>Oct</t>
        </is>
      </c>
      <c r="C60" s="26" t="n">
        <v>12681939.74</v>
      </c>
      <c r="D60" s="26" t="n">
        <v>12742583.7</v>
      </c>
      <c r="E60" s="26" t="n">
        <v>60643.96</v>
      </c>
      <c r="F60" s="27" t="n">
        <v>0.48</v>
      </c>
      <c r="G60" s="26" t="n">
        <v>7653732.739999999</v>
      </c>
      <c r="H60" s="26" t="n">
        <v>7114495.100000001</v>
      </c>
      <c r="I60" s="26" t="n">
        <v>5028207</v>
      </c>
      <c r="J60" s="26" t="n">
        <v>5628088.600000001</v>
      </c>
      <c r="K60" s="27" t="n">
        <v>44.17</v>
      </c>
    </row>
    <row r="61">
      <c r="A61" s="28" t="inlineStr">
        <is>
          <t>North America</t>
        </is>
      </c>
      <c r="B61" s="28" t="inlineStr">
        <is>
          <t>Nov</t>
        </is>
      </c>
      <c r="C61" s="29" t="n">
        <v>12662278.87</v>
      </c>
      <c r="D61" s="29" t="n">
        <v>12594227.36</v>
      </c>
      <c r="E61" s="29" t="n">
        <v>-68051.50999999999</v>
      </c>
      <c r="F61" s="30" t="n">
        <v>-0.54</v>
      </c>
      <c r="G61" s="29" t="n">
        <v>9465153.379999999</v>
      </c>
      <c r="H61" s="29" t="n">
        <v>9362671.529999999</v>
      </c>
      <c r="I61" s="29" t="n">
        <v>3197125.49</v>
      </c>
      <c r="J61" s="29" t="n">
        <v>3231555.83</v>
      </c>
      <c r="K61" s="30" t="n">
        <v>25.66</v>
      </c>
    </row>
    <row r="62">
      <c r="A62" s="25" t="inlineStr">
        <is>
          <t>North America</t>
        </is>
      </c>
      <c r="B62" s="25" t="inlineStr">
        <is>
          <t>Dec</t>
        </is>
      </c>
      <c r="C62" s="26" t="n">
        <v>13340091.52</v>
      </c>
      <c r="D62" s="26" t="n">
        <v>13653657.81</v>
      </c>
      <c r="E62" s="26" t="n">
        <v>313566.29</v>
      </c>
      <c r="F62" s="27" t="n">
        <v>2.35</v>
      </c>
      <c r="G62" s="26" t="n">
        <v>7496147.19</v>
      </c>
      <c r="H62" s="26" t="n">
        <v>7420861.97</v>
      </c>
      <c r="I62" s="26" t="n">
        <v>5843944.33</v>
      </c>
      <c r="J62" s="26" t="n">
        <v>6232795.84</v>
      </c>
      <c r="K62" s="27" t="n">
        <v>45.65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1">
      <c r="A1" s="31" t="inlineStr">
        <is>
          <t>CLIENT FINANCIAL REPORTING — H1 2024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>
      <c r="A2" s="24" t="inlineStr">
        <is>
          <t>Client</t>
        </is>
      </c>
      <c r="B2" s="24" t="inlineStr">
        <is>
          <t>Avg AUM ($)</t>
        </is>
      </c>
      <c r="C2" s="24" t="inlineStr">
        <is>
          <t>Mgmt Fee ($)</t>
        </is>
      </c>
      <c r="D2" s="24" t="inlineStr">
        <is>
          <t>Perf Fee ($)</t>
        </is>
      </c>
      <c r="E2" s="24" t="inlineStr">
        <is>
          <t>Total Revenue ($)</t>
        </is>
      </c>
      <c r="F2" s="24" t="inlineStr">
        <is>
          <t>Avg Fee (bps)</t>
        </is>
      </c>
      <c r="G2" s="24" t="inlineStr">
        <is>
          <t>Satisfaction</t>
        </is>
      </c>
      <c r="H2" s="24" t="inlineStr">
        <is>
          <t>Rating</t>
        </is>
      </c>
    </row>
    <row r="3">
      <c r="A3" s="37" t="inlineStr">
        <is>
          <t>Vanguard Ltd</t>
        </is>
      </c>
      <c r="B3" s="38" t="n">
        <v>35641210393.50167</v>
      </c>
      <c r="C3" s="38" t="n">
        <v>315266178.62</v>
      </c>
      <c r="D3" s="38" t="n">
        <v>45888268.63</v>
      </c>
      <c r="E3" s="38" t="n">
        <v>361154447.25</v>
      </c>
      <c r="F3" s="39" t="n">
        <v>101.33</v>
      </c>
      <c r="G3" s="40" t="n">
        <v>8.6</v>
      </c>
      <c r="H3" s="37" t="inlineStr">
        <is>
          <t>GOLD</t>
        </is>
      </c>
    </row>
    <row r="4">
      <c r="A4" s="37" t="inlineStr">
        <is>
          <t>BlackRock Corp</t>
        </is>
      </c>
      <c r="B4" s="38" t="n">
        <v>26169238073.41667</v>
      </c>
      <c r="C4" s="38" t="n">
        <v>280025586.88</v>
      </c>
      <c r="D4" s="38" t="n">
        <v>38547118.51</v>
      </c>
      <c r="E4" s="38" t="n">
        <v>318572705.39</v>
      </c>
      <c r="F4" s="39" t="n">
        <v>121.74</v>
      </c>
      <c r="G4" s="40" t="n">
        <v>8.199999999999999</v>
      </c>
      <c r="H4" s="37" t="inlineStr">
        <is>
          <t>GOLD</t>
        </is>
      </c>
    </row>
    <row r="5">
      <c r="A5" s="37" t="inlineStr">
        <is>
          <t>Capital Group</t>
        </is>
      </c>
      <c r="B5" s="38" t="n">
        <v>29817332374.43666</v>
      </c>
      <c r="C5" s="38" t="n">
        <v>256823641.58</v>
      </c>
      <c r="D5" s="38" t="n">
        <v>40389605.61</v>
      </c>
      <c r="E5" s="38" t="n">
        <v>297213247.19</v>
      </c>
      <c r="F5" s="39" t="n">
        <v>99.68000000000001</v>
      </c>
      <c r="G5" s="40" t="n">
        <v>8.1</v>
      </c>
      <c r="H5" s="37" t="inlineStr">
        <is>
          <t>GOLD</t>
        </is>
      </c>
    </row>
    <row r="6">
      <c r="A6" s="37" t="inlineStr">
        <is>
          <t>State Street</t>
        </is>
      </c>
      <c r="B6" s="38" t="n">
        <v>30853207939.49334</v>
      </c>
      <c r="C6" s="38" t="n">
        <v>223634077.07</v>
      </c>
      <c r="D6" s="38" t="n">
        <v>41226534.41</v>
      </c>
      <c r="E6" s="38" t="n">
        <v>264860611.48</v>
      </c>
      <c r="F6" s="39" t="n">
        <v>85.84999999999999</v>
      </c>
      <c r="G6" s="40" t="n">
        <v>8.699999999999999</v>
      </c>
      <c r="H6" s="37" t="inlineStr">
        <is>
          <t>GOLD</t>
        </is>
      </c>
    </row>
    <row r="7">
      <c r="A7" s="37" t="inlineStr">
        <is>
          <t>T. Rowe Price</t>
        </is>
      </c>
      <c r="B7" s="38" t="n">
        <v>29875533722.365</v>
      </c>
      <c r="C7" s="38" t="n">
        <v>201050106.75</v>
      </c>
      <c r="D7" s="38" t="n">
        <v>45901550.38</v>
      </c>
      <c r="E7" s="38" t="n">
        <v>246951657.13</v>
      </c>
      <c r="F7" s="39" t="n">
        <v>82.66</v>
      </c>
      <c r="G7" s="40" t="n">
        <v>8.800000000000001</v>
      </c>
      <c r="H7" s="37" t="inlineStr">
        <is>
          <t>GOLD</t>
        </is>
      </c>
    </row>
    <row r="8">
      <c r="A8" s="25" t="inlineStr">
        <is>
          <t>Wellington Mgmt</t>
        </is>
      </c>
      <c r="B8" s="26" t="n">
        <v>22451418091.845</v>
      </c>
      <c r="C8" s="26" t="n">
        <v>165729848.56</v>
      </c>
      <c r="D8" s="26" t="n">
        <v>33804022.9</v>
      </c>
      <c r="E8" s="26" t="n">
        <v>199533871.46</v>
      </c>
      <c r="F8" s="41" t="n">
        <v>88.87</v>
      </c>
      <c r="G8" s="42" t="n">
        <v>7.9</v>
      </c>
      <c r="H8" s="25" t="inlineStr">
        <is>
          <t>SILVER</t>
        </is>
      </c>
    </row>
    <row r="9">
      <c r="A9" s="37" t="inlineStr">
        <is>
          <t>Nuveen</t>
        </is>
      </c>
      <c r="B9" s="38" t="n">
        <v>23016599710.755</v>
      </c>
      <c r="C9" s="38" t="n">
        <v>151609510.36</v>
      </c>
      <c r="D9" s="38" t="n">
        <v>26746157.61</v>
      </c>
      <c r="E9" s="38" t="n">
        <v>178355667.97</v>
      </c>
      <c r="F9" s="39" t="n">
        <v>77.48999999999999</v>
      </c>
      <c r="G9" s="40" t="n">
        <v>8.4</v>
      </c>
      <c r="H9" s="37" t="inlineStr">
        <is>
          <t>GOLD</t>
        </is>
      </c>
    </row>
    <row r="10">
      <c r="A10" s="37" t="inlineStr">
        <is>
          <t>PIMCO Global</t>
        </is>
      </c>
      <c r="B10" s="38" t="n">
        <v>19521950303.44</v>
      </c>
      <c r="C10" s="38" t="n">
        <v>136902048.03</v>
      </c>
      <c r="D10" s="38" t="n">
        <v>31332141.72</v>
      </c>
      <c r="E10" s="38" t="n">
        <v>168234189.75</v>
      </c>
      <c r="F10" s="39" t="n">
        <v>86.18000000000001</v>
      </c>
      <c r="G10" s="40" t="n">
        <v>8.5</v>
      </c>
      <c r="H10" s="37" t="inlineStr">
        <is>
          <t>GOLD</t>
        </is>
      </c>
    </row>
    <row r="11">
      <c r="A11" s="37" t="inlineStr">
        <is>
          <t>Fidelity Inst</t>
        </is>
      </c>
      <c r="B11" s="38" t="n">
        <v>19308560161.88</v>
      </c>
      <c r="C11" s="38" t="n">
        <v>143433172.82</v>
      </c>
      <c r="D11" s="38" t="n">
        <v>20097888.93</v>
      </c>
      <c r="E11" s="38" t="n">
        <v>163531061.75</v>
      </c>
      <c r="F11" s="39" t="n">
        <v>84.69</v>
      </c>
      <c r="G11" s="40" t="n">
        <v>8.199999999999999</v>
      </c>
      <c r="H11" s="37" t="inlineStr">
        <is>
          <t>GOLD</t>
        </is>
      </c>
    </row>
    <row r="12">
      <c r="A12" s="25" t="inlineStr">
        <is>
          <t>Invesco Ltd</t>
        </is>
      </c>
      <c r="B12" s="26" t="n">
        <v>22192321660.58333</v>
      </c>
      <c r="C12" s="26" t="n">
        <v>145872602.66</v>
      </c>
      <c r="D12" s="26" t="n">
        <v>11370337.97</v>
      </c>
      <c r="E12" s="26" t="n">
        <v>157242940.63</v>
      </c>
      <c r="F12" s="41" t="n">
        <v>70.84999999999999</v>
      </c>
      <c r="G12" s="42" t="n">
        <v>7.7</v>
      </c>
      <c r="H12" s="25" t="inlineStr">
        <is>
          <t>SILVER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950B"/>
    <outlinePr summaryBelow="1" summaryRight="1"/>
    <pageSetUpPr/>
  </sheetPr>
  <dimension ref="A1:H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22" customWidth="1" min="8" max="8"/>
  </cols>
  <sheetData>
    <row r="1">
      <c r="A1" s="31" t="inlineStr">
        <is>
          <t>KPI PERFORMANCE TRACKER — H1 2024</t>
        </is>
      </c>
      <c r="B1" s="22" t="n"/>
      <c r="C1" s="22" t="n"/>
      <c r="D1" s="22" t="n"/>
      <c r="E1" s="22" t="n"/>
      <c r="F1" s="22" t="n"/>
      <c r="G1" s="22" t="n"/>
      <c r="H1" s="23" t="n"/>
    </row>
    <row r="2">
      <c r="A2" s="24" t="inlineStr">
        <is>
          <t>KPI</t>
        </is>
      </c>
      <c r="B2" s="24" t="inlineStr">
        <is>
          <t>Month</t>
        </is>
      </c>
      <c r="C2" s="24" t="inlineStr">
        <is>
          <t>Target</t>
        </is>
      </c>
      <c r="D2" s="24" t="inlineStr">
        <is>
          <t>Actual</t>
        </is>
      </c>
      <c r="E2" s="24" t="inlineStr">
        <is>
          <t>Variance</t>
        </is>
      </c>
      <c r="F2" s="24" t="inlineStr">
        <is>
          <t>Variance %</t>
        </is>
      </c>
      <c r="G2" s="24" t="inlineStr">
        <is>
          <t>Status</t>
        </is>
      </c>
      <c r="H2" s="24" t="inlineStr">
        <is>
          <t>Assessment</t>
        </is>
      </c>
    </row>
    <row r="3">
      <c r="A3" s="43" t="inlineStr">
        <is>
          <t>AUM Growth %</t>
        </is>
      </c>
      <c r="B3" s="43" t="inlineStr">
        <is>
          <t>Jan</t>
        </is>
      </c>
      <c r="C3" s="44" t="n">
        <v>12</v>
      </c>
      <c r="D3" s="44" t="n">
        <v>10.55</v>
      </c>
      <c r="E3" s="44" t="n">
        <v>-1.45</v>
      </c>
      <c r="F3" s="45" t="n">
        <v>-12.08</v>
      </c>
      <c r="G3" s="43" t="inlineStr">
        <is>
          <t>BELOW</t>
        </is>
      </c>
      <c r="H3" s="43" t="inlineStr">
        <is>
          <t>Requires attention</t>
        </is>
      </c>
    </row>
    <row r="4">
      <c r="A4" s="43" t="inlineStr">
        <is>
          <t>AUM Growth %</t>
        </is>
      </c>
      <c r="B4" s="43" t="inlineStr">
        <is>
          <t>Feb</t>
        </is>
      </c>
      <c r="C4" s="44" t="n">
        <v>12</v>
      </c>
      <c r="D4" s="44" t="n">
        <v>10.74</v>
      </c>
      <c r="E4" s="44" t="n">
        <v>-1.26</v>
      </c>
      <c r="F4" s="45" t="n">
        <v>-10.5</v>
      </c>
      <c r="G4" s="43" t="inlineStr">
        <is>
          <t>BELOW</t>
        </is>
      </c>
      <c r="H4" s="43" t="inlineStr">
        <is>
          <t>Requires attention</t>
        </is>
      </c>
    </row>
    <row r="5">
      <c r="A5" s="43" t="inlineStr">
        <is>
          <t>AUM Growth %</t>
        </is>
      </c>
      <c r="B5" s="43" t="inlineStr">
        <is>
          <t>Mar</t>
        </is>
      </c>
      <c r="C5" s="44" t="n">
        <v>12</v>
      </c>
      <c r="D5" s="44" t="n">
        <v>10.89</v>
      </c>
      <c r="E5" s="44" t="n">
        <v>-1.11</v>
      </c>
      <c r="F5" s="45" t="n">
        <v>-9.25</v>
      </c>
      <c r="G5" s="43" t="inlineStr">
        <is>
          <t>BELOW</t>
        </is>
      </c>
      <c r="H5" s="43" t="inlineStr">
        <is>
          <t>Requires attention</t>
        </is>
      </c>
    </row>
    <row r="6">
      <c r="A6" s="46" t="inlineStr">
        <is>
          <t>AUM Growth %</t>
        </is>
      </c>
      <c r="B6" s="46" t="inlineStr">
        <is>
          <t>Apr</t>
        </is>
      </c>
      <c r="C6" s="47" t="n">
        <v>12</v>
      </c>
      <c r="D6" s="47" t="n">
        <v>12.1</v>
      </c>
      <c r="E6" s="47" t="n">
        <v>0.1</v>
      </c>
      <c r="F6" s="48" t="n">
        <v>0.83</v>
      </c>
      <c r="G6" s="46" t="inlineStr">
        <is>
          <t>ON TARGET</t>
        </is>
      </c>
      <c r="H6" s="46" t="inlineStr">
        <is>
          <t>Meeting expectations</t>
        </is>
      </c>
    </row>
    <row r="7">
      <c r="A7" s="34" t="inlineStr">
        <is>
          <t>AUM Growth %</t>
        </is>
      </c>
      <c r="B7" s="34" t="inlineStr">
        <is>
          <t>May</t>
        </is>
      </c>
      <c r="C7" s="49" t="n">
        <v>12</v>
      </c>
      <c r="D7" s="49" t="n">
        <v>13.13</v>
      </c>
      <c r="E7" s="49" t="n">
        <v>1.13</v>
      </c>
      <c r="F7" s="36" t="n">
        <v>9.42</v>
      </c>
      <c r="G7" s="34" t="inlineStr">
        <is>
          <t>ABOVE</t>
        </is>
      </c>
      <c r="H7" s="34" t="inlineStr">
        <is>
          <t>Exceeding target</t>
        </is>
      </c>
    </row>
    <row r="8">
      <c r="A8" s="43" t="inlineStr">
        <is>
          <t>AUM Growth %</t>
        </is>
      </c>
      <c r="B8" s="43" t="inlineStr">
        <is>
          <t>Jun</t>
        </is>
      </c>
      <c r="C8" s="44" t="n">
        <v>12</v>
      </c>
      <c r="D8" s="44" t="n">
        <v>11.16</v>
      </c>
      <c r="E8" s="44" t="n">
        <v>-0.84</v>
      </c>
      <c r="F8" s="45" t="n">
        <v>-7</v>
      </c>
      <c r="G8" s="43" t="inlineStr">
        <is>
          <t>BELOW</t>
        </is>
      </c>
      <c r="H8" s="43" t="inlineStr">
        <is>
          <t>Requires attention</t>
        </is>
      </c>
    </row>
    <row r="9">
      <c r="A9" s="46" t="inlineStr">
        <is>
          <t>Revenue Yield bps</t>
        </is>
      </c>
      <c r="B9" s="46" t="inlineStr">
        <is>
          <t>Jan</t>
        </is>
      </c>
      <c r="C9" s="47" t="n">
        <v>85</v>
      </c>
      <c r="D9" s="47" t="n">
        <v>82.37</v>
      </c>
      <c r="E9" s="47" t="n">
        <v>-2.63</v>
      </c>
      <c r="F9" s="48" t="n">
        <v>-3.09</v>
      </c>
      <c r="G9" s="46" t="inlineStr">
        <is>
          <t>ON TARGET</t>
        </is>
      </c>
      <c r="H9" s="46" t="inlineStr">
        <is>
          <t>Meeting expectations</t>
        </is>
      </c>
    </row>
    <row r="10">
      <c r="A10" s="46" t="inlineStr">
        <is>
          <t>Revenue Yield bps</t>
        </is>
      </c>
      <c r="B10" s="46" t="inlineStr">
        <is>
          <t>Feb</t>
        </is>
      </c>
      <c r="C10" s="47" t="n">
        <v>85</v>
      </c>
      <c r="D10" s="47" t="n">
        <v>81.76000000000001</v>
      </c>
      <c r="E10" s="47" t="n">
        <v>-3.24</v>
      </c>
      <c r="F10" s="48" t="n">
        <v>-3.81</v>
      </c>
      <c r="G10" s="46" t="inlineStr">
        <is>
          <t>ON TARGET</t>
        </is>
      </c>
      <c r="H10" s="46" t="inlineStr">
        <is>
          <t>Meeting expectations</t>
        </is>
      </c>
    </row>
    <row r="11">
      <c r="A11" s="46" t="inlineStr">
        <is>
          <t>Revenue Yield bps</t>
        </is>
      </c>
      <c r="B11" s="46" t="inlineStr">
        <is>
          <t>Mar</t>
        </is>
      </c>
      <c r="C11" s="47" t="n">
        <v>85</v>
      </c>
      <c r="D11" s="47" t="n">
        <v>82.59999999999999</v>
      </c>
      <c r="E11" s="47" t="n">
        <v>-2.4</v>
      </c>
      <c r="F11" s="48" t="n">
        <v>-2.82</v>
      </c>
      <c r="G11" s="46" t="inlineStr">
        <is>
          <t>ON TARGET</t>
        </is>
      </c>
      <c r="H11" s="46" t="inlineStr">
        <is>
          <t>Meeting expectations</t>
        </is>
      </c>
    </row>
    <row r="12">
      <c r="A12" s="46" t="inlineStr">
        <is>
          <t>Revenue Yield bps</t>
        </is>
      </c>
      <c r="B12" s="46" t="inlineStr">
        <is>
          <t>Apr</t>
        </is>
      </c>
      <c r="C12" s="47" t="n">
        <v>85</v>
      </c>
      <c r="D12" s="47" t="n">
        <v>86.66</v>
      </c>
      <c r="E12" s="47" t="n">
        <v>1.66</v>
      </c>
      <c r="F12" s="48" t="n">
        <v>1.95</v>
      </c>
      <c r="G12" s="46" t="inlineStr">
        <is>
          <t>ON TARGET</t>
        </is>
      </c>
      <c r="H12" s="46" t="inlineStr">
        <is>
          <t>Meeting expectations</t>
        </is>
      </c>
    </row>
    <row r="13">
      <c r="A13" s="34" t="inlineStr">
        <is>
          <t>Revenue Yield bps</t>
        </is>
      </c>
      <c r="B13" s="34" t="inlineStr">
        <is>
          <t>May</t>
        </is>
      </c>
      <c r="C13" s="49" t="n">
        <v>85</v>
      </c>
      <c r="D13" s="49" t="n">
        <v>97.5</v>
      </c>
      <c r="E13" s="49" t="n">
        <v>12.5</v>
      </c>
      <c r="F13" s="36" t="n">
        <v>14.71</v>
      </c>
      <c r="G13" s="34" t="inlineStr">
        <is>
          <t>ABOVE</t>
        </is>
      </c>
      <c r="H13" s="34" t="inlineStr">
        <is>
          <t>Exceeding target</t>
        </is>
      </c>
    </row>
    <row r="14">
      <c r="A14" s="43" t="inlineStr">
        <is>
          <t>Revenue Yield bps</t>
        </is>
      </c>
      <c r="B14" s="43" t="inlineStr">
        <is>
          <t>Jun</t>
        </is>
      </c>
      <c r="C14" s="44" t="n">
        <v>85</v>
      </c>
      <c r="D14" s="44" t="n">
        <v>78.01000000000001</v>
      </c>
      <c r="E14" s="44" t="n">
        <v>-6.99</v>
      </c>
      <c r="F14" s="45" t="n">
        <v>-8.220000000000001</v>
      </c>
      <c r="G14" s="43" t="inlineStr">
        <is>
          <t>BELOW</t>
        </is>
      </c>
      <c r="H14" s="43" t="inlineStr">
        <is>
          <t>Requires attention</t>
        </is>
      </c>
    </row>
    <row r="15">
      <c r="A15" s="34" t="inlineStr">
        <is>
          <t>Cost-to-Income Ratio</t>
        </is>
      </c>
      <c r="B15" s="34" t="inlineStr">
        <is>
          <t>Jan</t>
        </is>
      </c>
      <c r="C15" s="49" t="n">
        <v>55</v>
      </c>
      <c r="D15" s="49" t="n">
        <v>58.04</v>
      </c>
      <c r="E15" s="49" t="n">
        <v>3.04</v>
      </c>
      <c r="F15" s="36" t="n">
        <v>5.53</v>
      </c>
      <c r="G15" s="34" t="inlineStr">
        <is>
          <t>ABOVE</t>
        </is>
      </c>
      <c r="H15" s="34" t="inlineStr">
        <is>
          <t>Exceeding target</t>
        </is>
      </c>
    </row>
    <row r="16">
      <c r="A16" s="34" t="inlineStr">
        <is>
          <t>Cost-to-Income Ratio</t>
        </is>
      </c>
      <c r="B16" s="34" t="inlineStr">
        <is>
          <t>Feb</t>
        </is>
      </c>
      <c r="C16" s="49" t="n">
        <v>55</v>
      </c>
      <c r="D16" s="49" t="n">
        <v>60.74</v>
      </c>
      <c r="E16" s="49" t="n">
        <v>5.74</v>
      </c>
      <c r="F16" s="36" t="n">
        <v>10.44</v>
      </c>
      <c r="G16" s="34" t="inlineStr">
        <is>
          <t>ABOVE</t>
        </is>
      </c>
      <c r="H16" s="34" t="inlineStr">
        <is>
          <t>Exceeding target</t>
        </is>
      </c>
    </row>
    <row r="17">
      <c r="A17" s="46" t="inlineStr">
        <is>
          <t>Cost-to-Income Ratio</t>
        </is>
      </c>
      <c r="B17" s="46" t="inlineStr">
        <is>
          <t>Mar</t>
        </is>
      </c>
      <c r="C17" s="47" t="n">
        <v>55</v>
      </c>
      <c r="D17" s="47" t="n">
        <v>57.54</v>
      </c>
      <c r="E17" s="47" t="n">
        <v>2.54</v>
      </c>
      <c r="F17" s="48" t="n">
        <v>4.62</v>
      </c>
      <c r="G17" s="46" t="inlineStr">
        <is>
          <t>ON TARGET</t>
        </is>
      </c>
      <c r="H17" s="46" t="inlineStr">
        <is>
          <t>Meeting expectations</t>
        </is>
      </c>
    </row>
    <row r="18">
      <c r="A18" s="34" t="inlineStr">
        <is>
          <t>Cost-to-Income Ratio</t>
        </is>
      </c>
      <c r="B18" s="34" t="inlineStr">
        <is>
          <t>Apr</t>
        </is>
      </c>
      <c r="C18" s="49" t="n">
        <v>55</v>
      </c>
      <c r="D18" s="49" t="n">
        <v>60.91</v>
      </c>
      <c r="E18" s="49" t="n">
        <v>5.91</v>
      </c>
      <c r="F18" s="36" t="n">
        <v>10.75</v>
      </c>
      <c r="G18" s="34" t="inlineStr">
        <is>
          <t>ABOVE</t>
        </is>
      </c>
      <c r="H18" s="34" t="inlineStr">
        <is>
          <t>Exceeding target</t>
        </is>
      </c>
    </row>
    <row r="19">
      <c r="A19" s="34" t="inlineStr">
        <is>
          <t>Cost-to-Income Ratio</t>
        </is>
      </c>
      <c r="B19" s="34" t="inlineStr">
        <is>
          <t>May</t>
        </is>
      </c>
      <c r="C19" s="49" t="n">
        <v>55</v>
      </c>
      <c r="D19" s="49" t="n">
        <v>59.28</v>
      </c>
      <c r="E19" s="49" t="n">
        <v>4.28</v>
      </c>
      <c r="F19" s="36" t="n">
        <v>7.78</v>
      </c>
      <c r="G19" s="34" t="inlineStr">
        <is>
          <t>ABOVE</t>
        </is>
      </c>
      <c r="H19" s="34" t="inlineStr">
        <is>
          <t>Exceeding target</t>
        </is>
      </c>
    </row>
    <row r="20">
      <c r="A20" s="43" t="inlineStr">
        <is>
          <t>Cost-to-Income Ratio</t>
        </is>
      </c>
      <c r="B20" s="43" t="inlineStr">
        <is>
          <t>Jun</t>
        </is>
      </c>
      <c r="C20" s="44" t="n">
        <v>55</v>
      </c>
      <c r="D20" s="44" t="n">
        <v>48.29</v>
      </c>
      <c r="E20" s="44" t="n">
        <v>-6.71</v>
      </c>
      <c r="F20" s="45" t="n">
        <v>-12.2</v>
      </c>
      <c r="G20" s="43" t="inlineStr">
        <is>
          <t>BELOW</t>
        </is>
      </c>
      <c r="H20" s="43" t="inlineStr">
        <is>
          <t>Requires attention</t>
        </is>
      </c>
    </row>
    <row r="21">
      <c r="A21" s="46" t="inlineStr">
        <is>
          <t>Client Retention %</t>
        </is>
      </c>
      <c r="B21" s="46" t="inlineStr">
        <is>
          <t>Jan</t>
        </is>
      </c>
      <c r="C21" s="47" t="n">
        <v>95</v>
      </c>
      <c r="D21" s="47" t="n">
        <v>91.56</v>
      </c>
      <c r="E21" s="47" t="n">
        <v>-3.44</v>
      </c>
      <c r="F21" s="48" t="n">
        <v>-3.62</v>
      </c>
      <c r="G21" s="46" t="inlineStr">
        <is>
          <t>ON TARGET</t>
        </is>
      </c>
      <c r="H21" s="46" t="inlineStr">
        <is>
          <t>Meeting expectations</t>
        </is>
      </c>
    </row>
    <row r="22">
      <c r="A22" s="46" t="inlineStr">
        <is>
          <t>Client Retention %</t>
        </is>
      </c>
      <c r="B22" s="46" t="inlineStr">
        <is>
          <t>Feb</t>
        </is>
      </c>
      <c r="C22" s="47" t="n">
        <v>95</v>
      </c>
      <c r="D22" s="47" t="n">
        <v>96.5</v>
      </c>
      <c r="E22" s="47" t="n">
        <v>1.5</v>
      </c>
      <c r="F22" s="48" t="n">
        <v>1.58</v>
      </c>
      <c r="G22" s="46" t="inlineStr">
        <is>
          <t>ON TARGET</t>
        </is>
      </c>
      <c r="H22" s="46" t="inlineStr">
        <is>
          <t>Meeting expectations</t>
        </is>
      </c>
    </row>
    <row r="23">
      <c r="A23" s="43" t="inlineStr">
        <is>
          <t>Client Retention %</t>
        </is>
      </c>
      <c r="B23" s="43" t="inlineStr">
        <is>
          <t>Mar</t>
        </is>
      </c>
      <c r="C23" s="44" t="n">
        <v>95</v>
      </c>
      <c r="D23" s="44" t="n">
        <v>82.34999999999999</v>
      </c>
      <c r="E23" s="44" t="n">
        <v>-12.65</v>
      </c>
      <c r="F23" s="45" t="n">
        <v>-13.32</v>
      </c>
      <c r="G23" s="43" t="inlineStr">
        <is>
          <t>BELOW</t>
        </is>
      </c>
      <c r="H23" s="43" t="inlineStr">
        <is>
          <t>Requires attention</t>
        </is>
      </c>
    </row>
    <row r="24">
      <c r="A24" s="43" t="inlineStr">
        <is>
          <t>Client Retention %</t>
        </is>
      </c>
      <c r="B24" s="43" t="inlineStr">
        <is>
          <t>Apr</t>
        </is>
      </c>
      <c r="C24" s="44" t="n">
        <v>95</v>
      </c>
      <c r="D24" s="44" t="n">
        <v>81.02</v>
      </c>
      <c r="E24" s="44" t="n">
        <v>-13.98</v>
      </c>
      <c r="F24" s="45" t="n">
        <v>-14.72</v>
      </c>
      <c r="G24" s="43" t="inlineStr">
        <is>
          <t>BELOW</t>
        </is>
      </c>
      <c r="H24" s="43" t="inlineStr">
        <is>
          <t>Requires attention</t>
        </is>
      </c>
    </row>
    <row r="25">
      <c r="A25" s="43" t="inlineStr">
        <is>
          <t>Client Retention %</t>
        </is>
      </c>
      <c r="B25" s="43" t="inlineStr">
        <is>
          <t>May</t>
        </is>
      </c>
      <c r="C25" s="44" t="n">
        <v>95</v>
      </c>
      <c r="D25" s="44" t="n">
        <v>85.63</v>
      </c>
      <c r="E25" s="44" t="n">
        <v>-9.369999999999999</v>
      </c>
      <c r="F25" s="45" t="n">
        <v>-9.859999999999999</v>
      </c>
      <c r="G25" s="43" t="inlineStr">
        <is>
          <t>BELOW</t>
        </is>
      </c>
      <c r="H25" s="43" t="inlineStr">
        <is>
          <t>Requires attention</t>
        </is>
      </c>
    </row>
    <row r="26">
      <c r="A26" s="46" t="inlineStr">
        <is>
          <t>Client Retention %</t>
        </is>
      </c>
      <c r="B26" s="46" t="inlineStr">
        <is>
          <t>Jun</t>
        </is>
      </c>
      <c r="C26" s="47" t="n">
        <v>95</v>
      </c>
      <c r="D26" s="47" t="n">
        <v>95</v>
      </c>
      <c r="E26" s="47" t="n">
        <v>0</v>
      </c>
      <c r="F26" s="48" t="n">
        <v>0</v>
      </c>
      <c r="G26" s="46" t="inlineStr">
        <is>
          <t>ON TARGET</t>
        </is>
      </c>
      <c r="H26" s="46" t="inlineStr">
        <is>
          <t>Meeting expectations</t>
        </is>
      </c>
    </row>
    <row r="27">
      <c r="A27" s="46" t="inlineStr">
        <is>
          <t>Portfolio Alpha %</t>
        </is>
      </c>
      <c r="B27" s="46" t="inlineStr">
        <is>
          <t>Jan</t>
        </is>
      </c>
      <c r="C27" s="47" t="n">
        <v>2.5</v>
      </c>
      <c r="D27" s="47" t="n">
        <v>2.45</v>
      </c>
      <c r="E27" s="47" t="n">
        <v>-0.05</v>
      </c>
      <c r="F27" s="48" t="n">
        <v>-2</v>
      </c>
      <c r="G27" s="46" t="inlineStr">
        <is>
          <t>ON TARGET</t>
        </is>
      </c>
      <c r="H27" s="46" t="inlineStr">
        <is>
          <t>Meeting expectations</t>
        </is>
      </c>
    </row>
    <row r="28">
      <c r="A28" s="34" t="inlineStr">
        <is>
          <t>Portfolio Alpha %</t>
        </is>
      </c>
      <c r="B28" s="34" t="inlineStr">
        <is>
          <t>Feb</t>
        </is>
      </c>
      <c r="C28" s="49" t="n">
        <v>2.5</v>
      </c>
      <c r="D28" s="49" t="n">
        <v>2.71</v>
      </c>
      <c r="E28" s="49" t="n">
        <v>0.21</v>
      </c>
      <c r="F28" s="36" t="n">
        <v>8.4</v>
      </c>
      <c r="G28" s="34" t="inlineStr">
        <is>
          <t>ABOVE</t>
        </is>
      </c>
      <c r="H28" s="34" t="inlineStr">
        <is>
          <t>Exceeding target</t>
        </is>
      </c>
    </row>
    <row r="29">
      <c r="A29" s="46" t="inlineStr">
        <is>
          <t>Portfolio Alpha %</t>
        </is>
      </c>
      <c r="B29" s="46" t="inlineStr">
        <is>
          <t>Mar</t>
        </is>
      </c>
      <c r="C29" s="47" t="n">
        <v>2.5</v>
      </c>
      <c r="D29" s="47" t="n">
        <v>2.55</v>
      </c>
      <c r="E29" s="47" t="n">
        <v>0.05</v>
      </c>
      <c r="F29" s="48" t="n">
        <v>2</v>
      </c>
      <c r="G29" s="46" t="inlineStr">
        <is>
          <t>ON TARGET</t>
        </is>
      </c>
      <c r="H29" s="46" t="inlineStr">
        <is>
          <t>Meeting expectations</t>
        </is>
      </c>
    </row>
    <row r="30">
      <c r="A30" s="34" t="inlineStr">
        <is>
          <t>Portfolio Alpha %</t>
        </is>
      </c>
      <c r="B30" s="34" t="inlineStr">
        <is>
          <t>Apr</t>
        </is>
      </c>
      <c r="C30" s="49" t="n">
        <v>2.5</v>
      </c>
      <c r="D30" s="49" t="n">
        <v>2.77</v>
      </c>
      <c r="E30" s="49" t="n">
        <v>0.27</v>
      </c>
      <c r="F30" s="36" t="n">
        <v>10.8</v>
      </c>
      <c r="G30" s="34" t="inlineStr">
        <is>
          <t>ABOVE</t>
        </is>
      </c>
      <c r="H30" s="34" t="inlineStr">
        <is>
          <t>Exceeding target</t>
        </is>
      </c>
    </row>
    <row r="31">
      <c r="A31" s="43" t="inlineStr">
        <is>
          <t>Portfolio Alpha %</t>
        </is>
      </c>
      <c r="B31" s="43" t="inlineStr">
        <is>
          <t>May</t>
        </is>
      </c>
      <c r="C31" s="44" t="n">
        <v>2.5</v>
      </c>
      <c r="D31" s="44" t="n">
        <v>2.2</v>
      </c>
      <c r="E31" s="44" t="n">
        <v>-0.3</v>
      </c>
      <c r="F31" s="45" t="n">
        <v>-12</v>
      </c>
      <c r="G31" s="43" t="inlineStr">
        <is>
          <t>BELOW</t>
        </is>
      </c>
      <c r="H31" s="43" t="inlineStr">
        <is>
          <t>Requires attention</t>
        </is>
      </c>
    </row>
    <row r="32">
      <c r="A32" s="46" t="inlineStr">
        <is>
          <t>Portfolio Alpha %</t>
        </is>
      </c>
      <c r="B32" s="46" t="inlineStr">
        <is>
          <t>Jun</t>
        </is>
      </c>
      <c r="C32" s="47" t="n">
        <v>2.5</v>
      </c>
      <c r="D32" s="47" t="n">
        <v>2.52</v>
      </c>
      <c r="E32" s="47" t="n">
        <v>0.02</v>
      </c>
      <c r="F32" s="48" t="n">
        <v>0.8</v>
      </c>
      <c r="G32" s="46" t="inlineStr">
        <is>
          <t>ON TARGET</t>
        </is>
      </c>
      <c r="H32" s="46" t="inlineStr">
        <is>
          <t>Meeting expectations</t>
        </is>
      </c>
    </row>
    <row r="33">
      <c r="A33" s="43" t="inlineStr">
        <is>
          <t>Sharpe Ratio</t>
        </is>
      </c>
      <c r="B33" s="43" t="inlineStr">
        <is>
          <t>Jan</t>
        </is>
      </c>
      <c r="C33" s="44" t="n">
        <v>1.4</v>
      </c>
      <c r="D33" s="44" t="n">
        <v>1.21</v>
      </c>
      <c r="E33" s="44" t="n">
        <v>-0.19</v>
      </c>
      <c r="F33" s="45" t="n">
        <v>-13.57</v>
      </c>
      <c r="G33" s="43" t="inlineStr">
        <is>
          <t>BELOW</t>
        </is>
      </c>
      <c r="H33" s="43" t="inlineStr">
        <is>
          <t>Requires attention</t>
        </is>
      </c>
    </row>
    <row r="34">
      <c r="A34" s="43" t="inlineStr">
        <is>
          <t>Sharpe Ratio</t>
        </is>
      </c>
      <c r="B34" s="43" t="inlineStr">
        <is>
          <t>Feb</t>
        </is>
      </c>
      <c r="C34" s="44" t="n">
        <v>1.4</v>
      </c>
      <c r="D34" s="44" t="n">
        <v>1.28</v>
      </c>
      <c r="E34" s="44" t="n">
        <v>-0.12</v>
      </c>
      <c r="F34" s="45" t="n">
        <v>-8.57</v>
      </c>
      <c r="G34" s="43" t="inlineStr">
        <is>
          <t>BELOW</t>
        </is>
      </c>
      <c r="H34" s="43" t="inlineStr">
        <is>
          <t>Requires attention</t>
        </is>
      </c>
    </row>
    <row r="35">
      <c r="A35" s="34" t="inlineStr">
        <is>
          <t>Sharpe Ratio</t>
        </is>
      </c>
      <c r="B35" s="34" t="inlineStr">
        <is>
          <t>Mar</t>
        </is>
      </c>
      <c r="C35" s="49" t="n">
        <v>1.4</v>
      </c>
      <c r="D35" s="49" t="n">
        <v>1.55</v>
      </c>
      <c r="E35" s="49" t="n">
        <v>0.15</v>
      </c>
      <c r="F35" s="36" t="n">
        <v>10.71</v>
      </c>
      <c r="G35" s="34" t="inlineStr">
        <is>
          <t>ABOVE</t>
        </is>
      </c>
      <c r="H35" s="34" t="inlineStr">
        <is>
          <t>Exceeding target</t>
        </is>
      </c>
    </row>
    <row r="36">
      <c r="A36" s="34" t="inlineStr">
        <is>
          <t>Sharpe Ratio</t>
        </is>
      </c>
      <c r="B36" s="34" t="inlineStr">
        <is>
          <t>Apr</t>
        </is>
      </c>
      <c r="C36" s="49" t="n">
        <v>1.4</v>
      </c>
      <c r="D36" s="49" t="n">
        <v>1.56</v>
      </c>
      <c r="E36" s="49" t="n">
        <v>0.16</v>
      </c>
      <c r="F36" s="36" t="n">
        <v>11.43</v>
      </c>
      <c r="G36" s="34" t="inlineStr">
        <is>
          <t>ABOVE</t>
        </is>
      </c>
      <c r="H36" s="34" t="inlineStr">
        <is>
          <t>Exceeding target</t>
        </is>
      </c>
    </row>
    <row r="37">
      <c r="A37" s="46" t="inlineStr">
        <is>
          <t>Sharpe Ratio</t>
        </is>
      </c>
      <c r="B37" s="46" t="inlineStr">
        <is>
          <t>May</t>
        </is>
      </c>
      <c r="C37" s="47" t="n">
        <v>1.4</v>
      </c>
      <c r="D37" s="47" t="n">
        <v>1.39</v>
      </c>
      <c r="E37" s="47" t="n">
        <v>-0.01</v>
      </c>
      <c r="F37" s="48" t="n">
        <v>-0.71</v>
      </c>
      <c r="G37" s="46" t="inlineStr">
        <is>
          <t>ON TARGET</t>
        </is>
      </c>
      <c r="H37" s="46" t="inlineStr">
        <is>
          <t>Meeting expectations</t>
        </is>
      </c>
    </row>
    <row r="38">
      <c r="A38" s="43" t="inlineStr">
        <is>
          <t>Sharpe Ratio</t>
        </is>
      </c>
      <c r="B38" s="43" t="inlineStr">
        <is>
          <t>Jun</t>
        </is>
      </c>
      <c r="C38" s="44" t="n">
        <v>1.4</v>
      </c>
      <c r="D38" s="44" t="n">
        <v>1.21</v>
      </c>
      <c r="E38" s="44" t="n">
        <v>-0.19</v>
      </c>
      <c r="F38" s="45" t="n">
        <v>-13.57</v>
      </c>
      <c r="G38" s="43" t="inlineStr">
        <is>
          <t>BELOW</t>
        </is>
      </c>
      <c r="H38" s="43" t="inlineStr">
        <is>
          <t>Requires attention</t>
        </is>
      </c>
    </row>
    <row r="39">
      <c r="A39" s="43" t="inlineStr">
        <is>
          <t>Expense Ratio %</t>
        </is>
      </c>
      <c r="B39" s="43" t="inlineStr">
        <is>
          <t>Jan</t>
        </is>
      </c>
      <c r="C39" s="44" t="n">
        <v>0.65</v>
      </c>
      <c r="D39" s="44" t="n">
        <v>0.57</v>
      </c>
      <c r="E39" s="44" t="n">
        <v>-0.08</v>
      </c>
      <c r="F39" s="45" t="n">
        <v>-12.31</v>
      </c>
      <c r="G39" s="43" t="inlineStr">
        <is>
          <t>BELOW</t>
        </is>
      </c>
      <c r="H39" s="43" t="inlineStr">
        <is>
          <t>Requires attention</t>
        </is>
      </c>
    </row>
    <row r="40">
      <c r="A40" s="34" t="inlineStr">
        <is>
          <t>Expense Ratio %</t>
        </is>
      </c>
      <c r="B40" s="34" t="inlineStr">
        <is>
          <t>Feb</t>
        </is>
      </c>
      <c r="C40" s="49" t="n">
        <v>0.65</v>
      </c>
      <c r="D40" s="49" t="n">
        <v>0.73</v>
      </c>
      <c r="E40" s="49" t="n">
        <v>0.08</v>
      </c>
      <c r="F40" s="36" t="n">
        <v>12.31</v>
      </c>
      <c r="G40" s="34" t="inlineStr">
        <is>
          <t>ABOVE</t>
        </is>
      </c>
      <c r="H40" s="34" t="inlineStr">
        <is>
          <t>Exceeding target</t>
        </is>
      </c>
    </row>
    <row r="41">
      <c r="A41" s="34" t="inlineStr">
        <is>
          <t>Expense Ratio %</t>
        </is>
      </c>
      <c r="B41" s="34" t="inlineStr">
        <is>
          <t>Mar</t>
        </is>
      </c>
      <c r="C41" s="49" t="n">
        <v>0.65</v>
      </c>
      <c r="D41" s="49" t="n">
        <v>0.73</v>
      </c>
      <c r="E41" s="49" t="n">
        <v>0.08</v>
      </c>
      <c r="F41" s="36" t="n">
        <v>12.31</v>
      </c>
      <c r="G41" s="34" t="inlineStr">
        <is>
          <t>ABOVE</t>
        </is>
      </c>
      <c r="H41" s="34" t="inlineStr">
        <is>
          <t>Exceeding target</t>
        </is>
      </c>
    </row>
    <row r="42">
      <c r="A42" s="46" t="inlineStr">
        <is>
          <t>Expense Ratio %</t>
        </is>
      </c>
      <c r="B42" s="46" t="inlineStr">
        <is>
          <t>Apr</t>
        </is>
      </c>
      <c r="C42" s="47" t="n">
        <v>0.65</v>
      </c>
      <c r="D42" s="47" t="n">
        <v>0.66</v>
      </c>
      <c r="E42" s="47" t="n">
        <v>0.01</v>
      </c>
      <c r="F42" s="48" t="n">
        <v>1.54</v>
      </c>
      <c r="G42" s="46" t="inlineStr">
        <is>
          <t>ON TARGET</t>
        </is>
      </c>
      <c r="H42" s="46" t="inlineStr">
        <is>
          <t>Meeting expectations</t>
        </is>
      </c>
    </row>
    <row r="43">
      <c r="A43" s="43" t="inlineStr">
        <is>
          <t>Expense Ratio %</t>
        </is>
      </c>
      <c r="B43" s="43" t="inlineStr">
        <is>
          <t>May</t>
        </is>
      </c>
      <c r="C43" s="44" t="n">
        <v>0.65</v>
      </c>
      <c r="D43" s="44" t="n">
        <v>0.5600000000000001</v>
      </c>
      <c r="E43" s="44" t="n">
        <v>-0.09</v>
      </c>
      <c r="F43" s="45" t="n">
        <v>-13.85</v>
      </c>
      <c r="G43" s="43" t="inlineStr">
        <is>
          <t>BELOW</t>
        </is>
      </c>
      <c r="H43" s="43" t="inlineStr">
        <is>
          <t>Requires attention</t>
        </is>
      </c>
    </row>
    <row r="44">
      <c r="A44" s="34" t="inlineStr">
        <is>
          <t>Expense Ratio %</t>
        </is>
      </c>
      <c r="B44" s="34" t="inlineStr">
        <is>
          <t>Jun</t>
        </is>
      </c>
      <c r="C44" s="49" t="n">
        <v>0.65</v>
      </c>
      <c r="D44" s="49" t="n">
        <v>0.73</v>
      </c>
      <c r="E44" s="49" t="n">
        <v>0.08</v>
      </c>
      <c r="F44" s="36" t="n">
        <v>12.31</v>
      </c>
      <c r="G44" s="34" t="inlineStr">
        <is>
          <t>ABOVE</t>
        </is>
      </c>
      <c r="H44" s="34" t="inlineStr">
        <is>
          <t>Exceeding target</t>
        </is>
      </c>
    </row>
    <row r="45">
      <c r="A45" s="43" t="inlineStr">
        <is>
          <t>Net Margin %</t>
        </is>
      </c>
      <c r="B45" s="43" t="inlineStr">
        <is>
          <t>Jan</t>
        </is>
      </c>
      <c r="C45" s="44" t="n">
        <v>28</v>
      </c>
      <c r="D45" s="44" t="n">
        <v>26.44</v>
      </c>
      <c r="E45" s="44" t="n">
        <v>-1.56</v>
      </c>
      <c r="F45" s="45" t="n">
        <v>-5.57</v>
      </c>
      <c r="G45" s="43" t="inlineStr">
        <is>
          <t>BELOW</t>
        </is>
      </c>
      <c r="H45" s="43" t="inlineStr">
        <is>
          <t>Requires attention</t>
        </is>
      </c>
    </row>
    <row r="46">
      <c r="A46" s="34" t="inlineStr">
        <is>
          <t>Net Margin %</t>
        </is>
      </c>
      <c r="B46" s="34" t="inlineStr">
        <is>
          <t>Feb</t>
        </is>
      </c>
      <c r="C46" s="49" t="n">
        <v>28</v>
      </c>
      <c r="D46" s="49" t="n">
        <v>31.88</v>
      </c>
      <c r="E46" s="49" t="n">
        <v>3.88</v>
      </c>
      <c r="F46" s="36" t="n">
        <v>13.86</v>
      </c>
      <c r="G46" s="34" t="inlineStr">
        <is>
          <t>ABOVE</t>
        </is>
      </c>
      <c r="H46" s="34" t="inlineStr">
        <is>
          <t>Exceeding target</t>
        </is>
      </c>
    </row>
    <row r="47">
      <c r="A47" s="46" t="inlineStr">
        <is>
          <t>Net Margin %</t>
        </is>
      </c>
      <c r="B47" s="46" t="inlineStr">
        <is>
          <t>Mar</t>
        </is>
      </c>
      <c r="C47" s="47" t="n">
        <v>28</v>
      </c>
      <c r="D47" s="47" t="n">
        <v>28.73</v>
      </c>
      <c r="E47" s="47" t="n">
        <v>0.73</v>
      </c>
      <c r="F47" s="48" t="n">
        <v>2.61</v>
      </c>
      <c r="G47" s="46" t="inlineStr">
        <is>
          <t>ON TARGET</t>
        </is>
      </c>
      <c r="H47" s="46" t="inlineStr">
        <is>
          <t>Meeting expectations</t>
        </is>
      </c>
    </row>
    <row r="48">
      <c r="A48" s="34" t="inlineStr">
        <is>
          <t>Net Margin %</t>
        </is>
      </c>
      <c r="B48" s="34" t="inlineStr">
        <is>
          <t>Apr</t>
        </is>
      </c>
      <c r="C48" s="49" t="n">
        <v>28</v>
      </c>
      <c r="D48" s="49" t="n">
        <v>30.12</v>
      </c>
      <c r="E48" s="49" t="n">
        <v>2.12</v>
      </c>
      <c r="F48" s="36" t="n">
        <v>7.57</v>
      </c>
      <c r="G48" s="34" t="inlineStr">
        <is>
          <t>ABOVE</t>
        </is>
      </c>
      <c r="H48" s="34" t="inlineStr">
        <is>
          <t>Exceeding target</t>
        </is>
      </c>
    </row>
    <row r="49">
      <c r="A49" s="34" t="inlineStr">
        <is>
          <t>Net Margin %</t>
        </is>
      </c>
      <c r="B49" s="34" t="inlineStr">
        <is>
          <t>May</t>
        </is>
      </c>
      <c r="C49" s="49" t="n">
        <v>28</v>
      </c>
      <c r="D49" s="49" t="n">
        <v>29.79</v>
      </c>
      <c r="E49" s="49" t="n">
        <v>1.79</v>
      </c>
      <c r="F49" s="36" t="n">
        <v>6.39</v>
      </c>
      <c r="G49" s="34" t="inlineStr">
        <is>
          <t>ABOVE</t>
        </is>
      </c>
      <c r="H49" s="34" t="inlineStr">
        <is>
          <t>Exceeding target</t>
        </is>
      </c>
    </row>
    <row r="50">
      <c r="A50" s="46" t="inlineStr">
        <is>
          <t>Net Margin %</t>
        </is>
      </c>
      <c r="B50" s="46" t="inlineStr">
        <is>
          <t>Jun</t>
        </is>
      </c>
      <c r="C50" s="47" t="n">
        <v>28</v>
      </c>
      <c r="D50" s="47" t="n">
        <v>27.15</v>
      </c>
      <c r="E50" s="47" t="n">
        <v>-0.85</v>
      </c>
      <c r="F50" s="48" t="n">
        <v>-3.04</v>
      </c>
      <c r="G50" s="46" t="inlineStr">
        <is>
          <t>ON TARGET</t>
        </is>
      </c>
      <c r="H50" s="46" t="inlineStr">
        <is>
          <t>Meeting expectations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31" t="inlineStr">
        <is>
          <t>DEPARTMENT EXPENSE ANALYSIS — H1 2024</t>
        </is>
      </c>
      <c r="B1" s="22" t="n"/>
      <c r="C1" s="22" t="n"/>
      <c r="D1" s="22" t="n"/>
      <c r="E1" s="22" t="n"/>
      <c r="F1" s="22" t="n"/>
      <c r="G1" s="23" t="n"/>
    </row>
    <row r="2">
      <c r="A2" s="24" t="inlineStr">
        <is>
          <t>Department</t>
        </is>
      </c>
      <c r="B2" s="24" t="inlineStr">
        <is>
          <t>Month</t>
        </is>
      </c>
      <c r="C2" s="24" t="inlineStr">
        <is>
          <t>Budget ($)</t>
        </is>
      </c>
      <c r="D2" s="24" t="inlineStr">
        <is>
          <t>Actual ($)</t>
        </is>
      </c>
      <c r="E2" s="24" t="inlineStr">
        <is>
          <t>Variance ($)</t>
        </is>
      </c>
      <c r="F2" s="24" t="inlineStr">
        <is>
          <t>Variance %</t>
        </is>
      </c>
      <c r="G2" s="24" t="inlineStr">
        <is>
          <t>Status</t>
        </is>
      </c>
    </row>
    <row r="3">
      <c r="A3" s="46" t="inlineStr">
        <is>
          <t>Portfolio Mgmt</t>
        </is>
      </c>
      <c r="B3" s="46" t="inlineStr">
        <is>
          <t>Jan</t>
        </is>
      </c>
      <c r="C3" s="33" t="n">
        <v>300018.74</v>
      </c>
      <c r="D3" s="33" t="n">
        <v>275713.64</v>
      </c>
      <c r="E3" s="33" t="n">
        <v>-24305.1</v>
      </c>
      <c r="F3" s="48" t="n">
        <v>-8.1</v>
      </c>
      <c r="G3" s="46" t="inlineStr">
        <is>
          <t>UNDER BUDGET</t>
        </is>
      </c>
    </row>
    <row r="4">
      <c r="A4" s="43" t="inlineStr">
        <is>
          <t>Portfolio Mgmt</t>
        </is>
      </c>
      <c r="B4" s="43" t="inlineStr">
        <is>
          <t>Feb</t>
        </is>
      </c>
      <c r="C4" s="32" t="n">
        <v>512613.85</v>
      </c>
      <c r="D4" s="32" t="n">
        <v>553785.02</v>
      </c>
      <c r="E4" s="32" t="n">
        <v>41171.16</v>
      </c>
      <c r="F4" s="45" t="n">
        <v>8.029999999999999</v>
      </c>
      <c r="G4" s="43" t="inlineStr">
        <is>
          <t>OVER BUDGET</t>
        </is>
      </c>
    </row>
    <row r="5">
      <c r="A5" s="43" t="inlineStr">
        <is>
          <t>Portfolio Mgmt</t>
        </is>
      </c>
      <c r="B5" s="43" t="inlineStr">
        <is>
          <t>Mar</t>
        </is>
      </c>
      <c r="C5" s="32" t="n">
        <v>705903.59</v>
      </c>
      <c r="D5" s="32" t="n">
        <v>773081.74</v>
      </c>
      <c r="E5" s="32" t="n">
        <v>67178.14999999999</v>
      </c>
      <c r="F5" s="45" t="n">
        <v>9.52</v>
      </c>
      <c r="G5" s="43" t="inlineStr">
        <is>
          <t>OVER BUDGET</t>
        </is>
      </c>
    </row>
    <row r="6">
      <c r="A6" s="43" t="inlineStr">
        <is>
          <t>Portfolio Mgmt</t>
        </is>
      </c>
      <c r="B6" s="43" t="inlineStr">
        <is>
          <t>Apr</t>
        </is>
      </c>
      <c r="C6" s="32" t="n">
        <v>631248.79</v>
      </c>
      <c r="D6" s="32" t="n">
        <v>669973.52</v>
      </c>
      <c r="E6" s="32" t="n">
        <v>38724.73</v>
      </c>
      <c r="F6" s="45" t="n">
        <v>6.13</v>
      </c>
      <c r="G6" s="43" t="inlineStr">
        <is>
          <t>OVER BUDGET</t>
        </is>
      </c>
    </row>
    <row r="7">
      <c r="A7" s="43" t="inlineStr">
        <is>
          <t>Portfolio Mgmt</t>
        </is>
      </c>
      <c r="B7" s="43" t="inlineStr">
        <is>
          <t>May</t>
        </is>
      </c>
      <c r="C7" s="32" t="n">
        <v>381935.77</v>
      </c>
      <c r="D7" s="32" t="n">
        <v>426711.9</v>
      </c>
      <c r="E7" s="32" t="n">
        <v>44776.13</v>
      </c>
      <c r="F7" s="45" t="n">
        <v>11.72</v>
      </c>
      <c r="G7" s="43" t="inlineStr">
        <is>
          <t>OVER BUDGET</t>
        </is>
      </c>
    </row>
    <row r="8">
      <c r="A8" s="43" t="inlineStr">
        <is>
          <t>Portfolio Mgmt</t>
        </is>
      </c>
      <c r="B8" s="43" t="inlineStr">
        <is>
          <t>Jun</t>
        </is>
      </c>
      <c r="C8" s="32" t="n">
        <v>1141412.64</v>
      </c>
      <c r="D8" s="32" t="n">
        <v>1141629.83</v>
      </c>
      <c r="E8" s="32" t="n">
        <v>217.19</v>
      </c>
      <c r="F8" s="45" t="n">
        <v>0.02</v>
      </c>
      <c r="G8" s="43" t="inlineStr">
        <is>
          <t>OVER BUDGET</t>
        </is>
      </c>
    </row>
    <row r="9">
      <c r="A9" s="46" t="inlineStr">
        <is>
          <t>Risk &amp; Compliance</t>
        </is>
      </c>
      <c r="B9" s="46" t="inlineStr">
        <is>
          <t>Jan</t>
        </is>
      </c>
      <c r="C9" s="33" t="n">
        <v>1466620.33</v>
      </c>
      <c r="D9" s="33" t="n">
        <v>1309526.43</v>
      </c>
      <c r="E9" s="33" t="n">
        <v>-157093.89</v>
      </c>
      <c r="F9" s="48" t="n">
        <v>-10.71</v>
      </c>
      <c r="G9" s="46" t="inlineStr">
        <is>
          <t>UNDER BUDGET</t>
        </is>
      </c>
    </row>
    <row r="10">
      <c r="A10" s="43" t="inlineStr">
        <is>
          <t>Risk &amp; Compliance</t>
        </is>
      </c>
      <c r="B10" s="43" t="inlineStr">
        <is>
          <t>Feb</t>
        </is>
      </c>
      <c r="C10" s="32" t="n">
        <v>768214.73</v>
      </c>
      <c r="D10" s="32" t="n">
        <v>830656.7</v>
      </c>
      <c r="E10" s="32" t="n">
        <v>62441.97</v>
      </c>
      <c r="F10" s="45" t="n">
        <v>8.130000000000001</v>
      </c>
      <c r="G10" s="43" t="inlineStr">
        <is>
          <t>OVER BUDGET</t>
        </is>
      </c>
    </row>
    <row r="11">
      <c r="A11" s="43" t="inlineStr">
        <is>
          <t>Risk &amp; Compliance</t>
        </is>
      </c>
      <c r="B11" s="43" t="inlineStr">
        <is>
          <t>Mar</t>
        </is>
      </c>
      <c r="C11" s="32" t="n">
        <v>642770.5699999999</v>
      </c>
      <c r="D11" s="32" t="n">
        <v>684268.71</v>
      </c>
      <c r="E11" s="32" t="n">
        <v>41498.14</v>
      </c>
      <c r="F11" s="45" t="n">
        <v>6.46</v>
      </c>
      <c r="G11" s="43" t="inlineStr">
        <is>
          <t>OVER BUDGET</t>
        </is>
      </c>
    </row>
    <row r="12">
      <c r="A12" s="46" t="inlineStr">
        <is>
          <t>Risk &amp; Compliance</t>
        </is>
      </c>
      <c r="B12" s="46" t="inlineStr">
        <is>
          <t>Apr</t>
        </is>
      </c>
      <c r="C12" s="33" t="n">
        <v>1441315.92</v>
      </c>
      <c r="D12" s="33" t="n">
        <v>1405583.87</v>
      </c>
      <c r="E12" s="33" t="n">
        <v>-35732.05</v>
      </c>
      <c r="F12" s="48" t="n">
        <v>-2.48</v>
      </c>
      <c r="G12" s="46" t="inlineStr">
        <is>
          <t>UNDER BUDGET</t>
        </is>
      </c>
    </row>
    <row r="13">
      <c r="A13" s="46" t="inlineStr">
        <is>
          <t>Risk &amp; Compliance</t>
        </is>
      </c>
      <c r="B13" s="46" t="inlineStr">
        <is>
          <t>May</t>
        </is>
      </c>
      <c r="C13" s="33" t="n">
        <v>1205621.39</v>
      </c>
      <c r="D13" s="33" t="n">
        <v>1069518.98</v>
      </c>
      <c r="E13" s="33" t="n">
        <v>-136102.41</v>
      </c>
      <c r="F13" s="48" t="n">
        <v>-11.29</v>
      </c>
      <c r="G13" s="46" t="inlineStr">
        <is>
          <t>UNDER BUDGET</t>
        </is>
      </c>
    </row>
    <row r="14">
      <c r="A14" s="43" t="inlineStr">
        <is>
          <t>Risk &amp; Compliance</t>
        </is>
      </c>
      <c r="B14" s="43" t="inlineStr">
        <is>
          <t>Jun</t>
        </is>
      </c>
      <c r="C14" s="32" t="n">
        <v>555325.14</v>
      </c>
      <c r="D14" s="32" t="n">
        <v>620976.01</v>
      </c>
      <c r="E14" s="32" t="n">
        <v>65650.88</v>
      </c>
      <c r="F14" s="45" t="n">
        <v>11.82</v>
      </c>
      <c r="G14" s="43" t="inlineStr">
        <is>
          <t>OVER BUDGET</t>
        </is>
      </c>
    </row>
    <row r="15">
      <c r="A15" s="46" t="inlineStr">
        <is>
          <t>Operations</t>
        </is>
      </c>
      <c r="B15" s="46" t="inlineStr">
        <is>
          <t>Jan</t>
        </is>
      </c>
      <c r="C15" s="33" t="n">
        <v>837784.49</v>
      </c>
      <c r="D15" s="33" t="n">
        <v>808792.7</v>
      </c>
      <c r="E15" s="33" t="n">
        <v>-28991.79</v>
      </c>
      <c r="F15" s="48" t="n">
        <v>-3.46</v>
      </c>
      <c r="G15" s="46" t="inlineStr">
        <is>
          <t>UNDER BUDGET</t>
        </is>
      </c>
    </row>
    <row r="16">
      <c r="A16" s="46" t="inlineStr">
        <is>
          <t>Operations</t>
        </is>
      </c>
      <c r="B16" s="46" t="inlineStr">
        <is>
          <t>Feb</t>
        </is>
      </c>
      <c r="C16" s="33" t="n">
        <v>1423485.7</v>
      </c>
      <c r="D16" s="33" t="n">
        <v>1400202.46</v>
      </c>
      <c r="E16" s="33" t="n">
        <v>-23283.23</v>
      </c>
      <c r="F16" s="48" t="n">
        <v>-1.64</v>
      </c>
      <c r="G16" s="46" t="inlineStr">
        <is>
          <t>UNDER BUDGET</t>
        </is>
      </c>
    </row>
    <row r="17">
      <c r="A17" s="43" t="inlineStr">
        <is>
          <t>Operations</t>
        </is>
      </c>
      <c r="B17" s="43" t="inlineStr">
        <is>
          <t>Mar</t>
        </is>
      </c>
      <c r="C17" s="32" t="n">
        <v>1083603.32</v>
      </c>
      <c r="D17" s="32" t="n">
        <v>1125388.42</v>
      </c>
      <c r="E17" s="32" t="n">
        <v>41785.11</v>
      </c>
      <c r="F17" s="45" t="n">
        <v>3.86</v>
      </c>
      <c r="G17" s="43" t="inlineStr">
        <is>
          <t>OVER BUDGET</t>
        </is>
      </c>
    </row>
    <row r="18">
      <c r="A18" s="43" t="inlineStr">
        <is>
          <t>Operations</t>
        </is>
      </c>
      <c r="B18" s="43" t="inlineStr">
        <is>
          <t>Apr</t>
        </is>
      </c>
      <c r="C18" s="32" t="n">
        <v>311402.35</v>
      </c>
      <c r="D18" s="32" t="n">
        <v>320267.3</v>
      </c>
      <c r="E18" s="32" t="n">
        <v>8864.940000000001</v>
      </c>
      <c r="F18" s="45" t="n">
        <v>2.85</v>
      </c>
      <c r="G18" s="43" t="inlineStr">
        <is>
          <t>OVER BUDGET</t>
        </is>
      </c>
    </row>
    <row r="19">
      <c r="A19" s="43" t="inlineStr">
        <is>
          <t>Operations</t>
        </is>
      </c>
      <c r="B19" s="43" t="inlineStr">
        <is>
          <t>May</t>
        </is>
      </c>
      <c r="C19" s="32" t="n">
        <v>1237471.73</v>
      </c>
      <c r="D19" s="32" t="n">
        <v>1300763.51</v>
      </c>
      <c r="E19" s="32" t="n">
        <v>63291.79</v>
      </c>
      <c r="F19" s="45" t="n">
        <v>5.11</v>
      </c>
      <c r="G19" s="43" t="inlineStr">
        <is>
          <t>OVER BUDGET</t>
        </is>
      </c>
    </row>
    <row r="20">
      <c r="A20" s="46" t="inlineStr">
        <is>
          <t>Operations</t>
        </is>
      </c>
      <c r="B20" s="46" t="inlineStr">
        <is>
          <t>Jun</t>
        </is>
      </c>
      <c r="C20" s="33" t="n">
        <v>306649.41</v>
      </c>
      <c r="D20" s="33" t="n">
        <v>281201.51</v>
      </c>
      <c r="E20" s="33" t="n">
        <v>-25447.91</v>
      </c>
      <c r="F20" s="48" t="n">
        <v>-8.300000000000001</v>
      </c>
      <c r="G20" s="46" t="inlineStr">
        <is>
          <t>UNDER BUDGET</t>
        </is>
      </c>
    </row>
    <row r="21">
      <c r="A21" s="43" t="inlineStr">
        <is>
          <t>Technology</t>
        </is>
      </c>
      <c r="B21" s="43" t="inlineStr">
        <is>
          <t>Jan</t>
        </is>
      </c>
      <c r="C21" s="32" t="n">
        <v>1125180.3</v>
      </c>
      <c r="D21" s="32" t="n">
        <v>1161339.33</v>
      </c>
      <c r="E21" s="32" t="n">
        <v>36159.03</v>
      </c>
      <c r="F21" s="45" t="n">
        <v>3.21</v>
      </c>
      <c r="G21" s="43" t="inlineStr">
        <is>
          <t>OVER BUDGET</t>
        </is>
      </c>
    </row>
    <row r="22">
      <c r="A22" s="46" t="inlineStr">
        <is>
          <t>Technology</t>
        </is>
      </c>
      <c r="B22" s="46" t="inlineStr">
        <is>
          <t>Feb</t>
        </is>
      </c>
      <c r="C22" s="33" t="n">
        <v>1161551.88</v>
      </c>
      <c r="D22" s="33" t="n">
        <v>1110446.82</v>
      </c>
      <c r="E22" s="33" t="n">
        <v>-51105.06</v>
      </c>
      <c r="F22" s="48" t="n">
        <v>-4.4</v>
      </c>
      <c r="G22" s="46" t="inlineStr">
        <is>
          <t>UNDER BUDGET</t>
        </is>
      </c>
    </row>
    <row r="23">
      <c r="A23" s="46" t="inlineStr">
        <is>
          <t>Technology</t>
        </is>
      </c>
      <c r="B23" s="46" t="inlineStr">
        <is>
          <t>Mar</t>
        </is>
      </c>
      <c r="C23" s="33" t="n">
        <v>338516.19</v>
      </c>
      <c r="D23" s="33" t="n">
        <v>298316.33</v>
      </c>
      <c r="E23" s="33" t="n">
        <v>-40199.86</v>
      </c>
      <c r="F23" s="48" t="n">
        <v>-11.88</v>
      </c>
      <c r="G23" s="46" t="inlineStr">
        <is>
          <t>UNDER BUDGET</t>
        </is>
      </c>
    </row>
    <row r="24">
      <c r="A24" s="46" t="inlineStr">
        <is>
          <t>Technology</t>
        </is>
      </c>
      <c r="B24" s="46" t="inlineStr">
        <is>
          <t>Apr</t>
        </is>
      </c>
      <c r="C24" s="33" t="n">
        <v>600747.6899999999</v>
      </c>
      <c r="D24" s="33" t="n">
        <v>580550.67</v>
      </c>
      <c r="E24" s="33" t="n">
        <v>-20197.02</v>
      </c>
      <c r="F24" s="48" t="n">
        <v>-3.36</v>
      </c>
      <c r="G24" s="46" t="inlineStr">
        <is>
          <t>UNDER BUDGET</t>
        </is>
      </c>
    </row>
    <row r="25">
      <c r="A25" s="46" t="inlineStr">
        <is>
          <t>Technology</t>
        </is>
      </c>
      <c r="B25" s="46" t="inlineStr">
        <is>
          <t>May</t>
        </is>
      </c>
      <c r="C25" s="33" t="n">
        <v>550696.38</v>
      </c>
      <c r="D25" s="33" t="n">
        <v>502125.88</v>
      </c>
      <c r="E25" s="33" t="n">
        <v>-48570.49</v>
      </c>
      <c r="F25" s="48" t="n">
        <v>-8.82</v>
      </c>
      <c r="G25" s="46" t="inlineStr">
        <is>
          <t>UNDER BUDGET</t>
        </is>
      </c>
    </row>
    <row r="26">
      <c r="A26" s="46" t="inlineStr">
        <is>
          <t>Technology</t>
        </is>
      </c>
      <c r="B26" s="46" t="inlineStr">
        <is>
          <t>Jun</t>
        </is>
      </c>
      <c r="C26" s="33" t="n">
        <v>443609.32</v>
      </c>
      <c r="D26" s="33" t="n">
        <v>438162.9</v>
      </c>
      <c r="E26" s="33" t="n">
        <v>-5446.42</v>
      </c>
      <c r="F26" s="48" t="n">
        <v>-1.23</v>
      </c>
      <c r="G26" s="46" t="inlineStr">
        <is>
          <t>UNDER BUDGET</t>
        </is>
      </c>
    </row>
    <row r="27">
      <c r="A27" s="46" t="inlineStr">
        <is>
          <t>Sales &amp; BD</t>
        </is>
      </c>
      <c r="B27" s="46" t="inlineStr">
        <is>
          <t>Jan</t>
        </is>
      </c>
      <c r="C27" s="33" t="n">
        <v>921162</v>
      </c>
      <c r="D27" s="33" t="n">
        <v>900832.51</v>
      </c>
      <c r="E27" s="33" t="n">
        <v>-20329.49</v>
      </c>
      <c r="F27" s="48" t="n">
        <v>-2.21</v>
      </c>
      <c r="G27" s="46" t="inlineStr">
        <is>
          <t>UNDER BUDGET</t>
        </is>
      </c>
    </row>
    <row r="28">
      <c r="A28" s="46" t="inlineStr">
        <is>
          <t>Sales &amp; BD</t>
        </is>
      </c>
      <c r="B28" s="46" t="inlineStr">
        <is>
          <t>Feb</t>
        </is>
      </c>
      <c r="C28" s="33" t="n">
        <v>234140.48</v>
      </c>
      <c r="D28" s="33" t="n">
        <v>225931.38</v>
      </c>
      <c r="E28" s="33" t="n">
        <v>-8209.1</v>
      </c>
      <c r="F28" s="48" t="n">
        <v>-3.51</v>
      </c>
      <c r="G28" s="46" t="inlineStr">
        <is>
          <t>UNDER BUDGET</t>
        </is>
      </c>
    </row>
    <row r="29">
      <c r="A29" s="43" t="inlineStr">
        <is>
          <t>Sales &amp; BD</t>
        </is>
      </c>
      <c r="B29" s="43" t="inlineStr">
        <is>
          <t>Mar</t>
        </is>
      </c>
      <c r="C29" s="32" t="n">
        <v>320983.54</v>
      </c>
      <c r="D29" s="32" t="n">
        <v>328536.45</v>
      </c>
      <c r="E29" s="32" t="n">
        <v>7552.91</v>
      </c>
      <c r="F29" s="45" t="n">
        <v>2.35</v>
      </c>
      <c r="G29" s="43" t="inlineStr">
        <is>
          <t>OVER BUDGET</t>
        </is>
      </c>
    </row>
    <row r="30">
      <c r="A30" s="46" t="inlineStr">
        <is>
          <t>Sales &amp; BD</t>
        </is>
      </c>
      <c r="B30" s="46" t="inlineStr">
        <is>
          <t>Apr</t>
        </is>
      </c>
      <c r="C30" s="33" t="n">
        <v>621759.4300000001</v>
      </c>
      <c r="D30" s="33" t="n">
        <v>604634.37</v>
      </c>
      <c r="E30" s="33" t="n">
        <v>-17125.06</v>
      </c>
      <c r="F30" s="48" t="n">
        <v>-2.75</v>
      </c>
      <c r="G30" s="46" t="inlineStr">
        <is>
          <t>UNDER BUDGET</t>
        </is>
      </c>
    </row>
    <row r="31">
      <c r="A31" s="46" t="inlineStr">
        <is>
          <t>Sales &amp; BD</t>
        </is>
      </c>
      <c r="B31" s="46" t="inlineStr">
        <is>
          <t>May</t>
        </is>
      </c>
      <c r="C31" s="33" t="n">
        <v>579401.5600000001</v>
      </c>
      <c r="D31" s="33" t="n">
        <v>563799.37</v>
      </c>
      <c r="E31" s="33" t="n">
        <v>-15602.19</v>
      </c>
      <c r="F31" s="48" t="n">
        <v>-2.69</v>
      </c>
      <c r="G31" s="46" t="inlineStr">
        <is>
          <t>UNDER BUDGET</t>
        </is>
      </c>
    </row>
    <row r="32">
      <c r="A32" s="43" t="inlineStr">
        <is>
          <t>Sales &amp; BD</t>
        </is>
      </c>
      <c r="B32" s="43" t="inlineStr">
        <is>
          <t>Jun</t>
        </is>
      </c>
      <c r="C32" s="32" t="n">
        <v>310109.37</v>
      </c>
      <c r="D32" s="32" t="n">
        <v>339964.42</v>
      </c>
      <c r="E32" s="32" t="n">
        <v>29855.05</v>
      </c>
      <c r="F32" s="45" t="n">
        <v>9.630000000000001</v>
      </c>
      <c r="G32" s="43" t="inlineStr">
        <is>
          <t>OVER BUDGET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38D75"/>
    <outlinePr summaryBelow="1" summaryRight="1"/>
    <pageSetUpPr/>
  </sheetPr>
  <dimension ref="A1:J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31" t="inlineStr">
        <is>
          <t>MONTHLY TREND ANALYSIS — FY2024</t>
        </is>
      </c>
      <c r="B1" s="22" t="n"/>
      <c r="C1" s="22" t="n"/>
      <c r="D1" s="22" t="n"/>
      <c r="E1" s="22" t="n"/>
      <c r="F1" s="23" t="n"/>
    </row>
    <row r="2">
      <c r="A2" s="24" t="inlineStr">
        <is>
          <t>Month</t>
        </is>
      </c>
      <c r="B2" s="24" t="inlineStr">
        <is>
          <t>Rev Budget</t>
        </is>
      </c>
      <c r="C2" s="24" t="inlineStr">
        <is>
          <t>Rev Actual</t>
        </is>
      </c>
      <c r="D2" s="24" t="inlineStr">
        <is>
          <t>Exp Budget</t>
        </is>
      </c>
      <c r="E2" s="24" t="inlineStr">
        <is>
          <t>Exp Actual</t>
        </is>
      </c>
      <c r="F2" s="24" t="inlineStr">
        <is>
          <t>NI Budget</t>
        </is>
      </c>
      <c r="G2" s="24" t="inlineStr">
        <is>
          <t>NI Actual</t>
        </is>
      </c>
      <c r="H2" s="24" t="inlineStr">
        <is>
          <t>Rev Var $</t>
        </is>
      </c>
      <c r="I2" s="24" t="inlineStr">
        <is>
          <t>Rev Var %</t>
        </is>
      </c>
      <c r="J2" s="24" t="inlineStr">
        <is>
          <t>NI Margin %</t>
        </is>
      </c>
    </row>
    <row r="3">
      <c r="A3" s="28" t="inlineStr">
        <is>
          <t>Jan</t>
        </is>
      </c>
      <c r="B3" s="29" t="n">
        <v>84229415.89</v>
      </c>
      <c r="C3" s="29" t="n">
        <v>84443021.79000001</v>
      </c>
      <c r="D3" s="29" t="n">
        <v>48033658.59</v>
      </c>
      <c r="E3" s="29" t="n">
        <v>47896448.21</v>
      </c>
      <c r="F3" s="29" t="n">
        <v>36195757.3</v>
      </c>
      <c r="G3" s="29" t="n">
        <v>36546573.58</v>
      </c>
      <c r="H3" s="29" t="n">
        <v>213605.9</v>
      </c>
      <c r="I3" s="30" t="n">
        <v>0.25</v>
      </c>
      <c r="J3" s="30" t="n">
        <v>43.28</v>
      </c>
    </row>
    <row r="4">
      <c r="A4" s="25" t="inlineStr">
        <is>
          <t>Feb</t>
        </is>
      </c>
      <c r="B4" s="26" t="n">
        <v>71258748.41</v>
      </c>
      <c r="C4" s="26" t="n">
        <v>72085394.11</v>
      </c>
      <c r="D4" s="26" t="n">
        <v>43294292.95</v>
      </c>
      <c r="E4" s="26" t="n">
        <v>42507454.1</v>
      </c>
      <c r="F4" s="26" t="n">
        <v>27964455.46</v>
      </c>
      <c r="G4" s="26" t="n">
        <v>29577940.01</v>
      </c>
      <c r="H4" s="26" t="n">
        <v>826645.7</v>
      </c>
      <c r="I4" s="27" t="n">
        <v>1.16</v>
      </c>
      <c r="J4" s="27" t="n">
        <v>41.03</v>
      </c>
    </row>
    <row r="5">
      <c r="A5" s="28" t="inlineStr">
        <is>
          <t>Mar</t>
        </is>
      </c>
      <c r="B5" s="29" t="n">
        <v>72141135.48999999</v>
      </c>
      <c r="C5" s="29" t="n">
        <v>72357099.77</v>
      </c>
      <c r="D5" s="29" t="n">
        <v>42319220.89</v>
      </c>
      <c r="E5" s="29" t="n">
        <v>41798651.21</v>
      </c>
      <c r="F5" s="29" t="n">
        <v>29821914.6</v>
      </c>
      <c r="G5" s="29" t="n">
        <v>30558448.56</v>
      </c>
      <c r="H5" s="29" t="n">
        <v>215964.28</v>
      </c>
      <c r="I5" s="30" t="n">
        <v>0.3</v>
      </c>
      <c r="J5" s="30" t="n">
        <v>42.23</v>
      </c>
    </row>
    <row r="6">
      <c r="A6" s="25" t="inlineStr">
        <is>
          <t>Apr</t>
        </is>
      </c>
      <c r="B6" s="26" t="n">
        <v>74231656.21000001</v>
      </c>
      <c r="C6" s="26" t="n">
        <v>73430966.53</v>
      </c>
      <c r="D6" s="26" t="n">
        <v>43746456.79</v>
      </c>
      <c r="E6" s="26" t="n">
        <v>44329403.56</v>
      </c>
      <c r="F6" s="26" t="n">
        <v>30485199.42</v>
      </c>
      <c r="G6" s="26" t="n">
        <v>29101562.97</v>
      </c>
      <c r="H6" s="26" t="n">
        <v>-800689.6800000001</v>
      </c>
      <c r="I6" s="27" t="n">
        <v>-1.08</v>
      </c>
      <c r="J6" s="27" t="n">
        <v>39.63</v>
      </c>
    </row>
    <row r="7">
      <c r="A7" s="28" t="inlineStr">
        <is>
          <t>May</t>
        </is>
      </c>
      <c r="B7" s="29" t="n">
        <v>75319431.95999999</v>
      </c>
      <c r="C7" s="29" t="n">
        <v>74430590.77</v>
      </c>
      <c r="D7" s="29" t="n">
        <v>43638541.6</v>
      </c>
      <c r="E7" s="29" t="n">
        <v>43802615.93</v>
      </c>
      <c r="F7" s="29" t="n">
        <v>31680890.36</v>
      </c>
      <c r="G7" s="29" t="n">
        <v>30627974.84</v>
      </c>
      <c r="H7" s="29" t="n">
        <v>-888841.1899999999</v>
      </c>
      <c r="I7" s="30" t="n">
        <v>-1.18</v>
      </c>
      <c r="J7" s="30" t="n">
        <v>41.15</v>
      </c>
    </row>
    <row r="8">
      <c r="A8" s="25" t="inlineStr">
        <is>
          <t>Jun</t>
        </is>
      </c>
      <c r="B8" s="26" t="n">
        <v>69158173.89</v>
      </c>
      <c r="C8" s="26" t="n">
        <v>69635336.37</v>
      </c>
      <c r="D8" s="26" t="n">
        <v>41742225.94</v>
      </c>
      <c r="E8" s="26" t="n">
        <v>42865353.99</v>
      </c>
      <c r="F8" s="26" t="n">
        <v>27415947.95</v>
      </c>
      <c r="G8" s="26" t="n">
        <v>26769982.38</v>
      </c>
      <c r="H8" s="26" t="n">
        <v>477162.48</v>
      </c>
      <c r="I8" s="27" t="n">
        <v>0.6899999999999999</v>
      </c>
      <c r="J8" s="27" t="n">
        <v>38.44</v>
      </c>
    </row>
    <row r="9">
      <c r="A9" s="28" t="inlineStr">
        <is>
          <t>Jul</t>
        </is>
      </c>
      <c r="B9" s="29" t="n">
        <v>76702753.58</v>
      </c>
      <c r="C9" s="29" t="n">
        <v>78076120.84</v>
      </c>
      <c r="D9" s="29" t="n">
        <v>47992846.54</v>
      </c>
      <c r="E9" s="29" t="n">
        <v>47673990.07</v>
      </c>
      <c r="F9" s="29" t="n">
        <v>28709907.04</v>
      </c>
      <c r="G9" s="29" t="n">
        <v>30402130.77</v>
      </c>
      <c r="H9" s="29" t="n">
        <v>1373367.26</v>
      </c>
      <c r="I9" s="30" t="n">
        <v>1.79</v>
      </c>
      <c r="J9" s="30" t="n">
        <v>38.94</v>
      </c>
    </row>
    <row r="10">
      <c r="A10" s="25" t="inlineStr">
        <is>
          <t>Aug</t>
        </is>
      </c>
      <c r="B10" s="26" t="n">
        <v>75457890.77</v>
      </c>
      <c r="C10" s="26" t="n">
        <v>73983784.64</v>
      </c>
      <c r="D10" s="26" t="n">
        <v>45898357.22</v>
      </c>
      <c r="E10" s="26" t="n">
        <v>44651790.91</v>
      </c>
      <c r="F10" s="26" t="n">
        <v>29559533.55</v>
      </c>
      <c r="G10" s="26" t="n">
        <v>29331993.73</v>
      </c>
      <c r="H10" s="26" t="n">
        <v>-1474106.13</v>
      </c>
      <c r="I10" s="27" t="n">
        <v>-1.95</v>
      </c>
      <c r="J10" s="27" t="n">
        <v>39.65</v>
      </c>
    </row>
    <row r="11">
      <c r="A11" s="28" t="inlineStr">
        <is>
          <t>Sep</t>
        </is>
      </c>
      <c r="B11" s="29" t="n">
        <v>78077667.78999999</v>
      </c>
      <c r="C11" s="29" t="n">
        <v>80022307.73</v>
      </c>
      <c r="D11" s="29" t="n">
        <v>45929469.28</v>
      </c>
      <c r="E11" s="29" t="n">
        <v>45430074.45</v>
      </c>
      <c r="F11" s="29" t="n">
        <v>32148198.51</v>
      </c>
      <c r="G11" s="29" t="n">
        <v>34592233.28</v>
      </c>
      <c r="H11" s="29" t="n">
        <v>1944639.94</v>
      </c>
      <c r="I11" s="30" t="n">
        <v>2.49</v>
      </c>
      <c r="J11" s="30" t="n">
        <v>43.23</v>
      </c>
    </row>
    <row r="12">
      <c r="A12" s="25" t="inlineStr">
        <is>
          <t>Oct</t>
        </is>
      </c>
      <c r="B12" s="26" t="n">
        <v>69006988.33</v>
      </c>
      <c r="C12" s="26" t="n">
        <v>70027151.22</v>
      </c>
      <c r="D12" s="26" t="n">
        <v>40906812.09</v>
      </c>
      <c r="E12" s="26" t="n">
        <v>40754683.01</v>
      </c>
      <c r="F12" s="26" t="n">
        <v>28100176.24</v>
      </c>
      <c r="G12" s="26" t="n">
        <v>29272468.21</v>
      </c>
      <c r="H12" s="26" t="n">
        <v>1020162.89</v>
      </c>
      <c r="I12" s="27" t="n">
        <v>1.48</v>
      </c>
      <c r="J12" s="27" t="n">
        <v>41.8</v>
      </c>
    </row>
    <row r="13">
      <c r="A13" s="28" t="inlineStr">
        <is>
          <t>Nov</t>
        </is>
      </c>
      <c r="B13" s="29" t="n">
        <v>66506824.22</v>
      </c>
      <c r="C13" s="29" t="n">
        <v>66673752.81</v>
      </c>
      <c r="D13" s="29" t="n">
        <v>44339523.99</v>
      </c>
      <c r="E13" s="29" t="n">
        <v>44047488.37</v>
      </c>
      <c r="F13" s="29" t="n">
        <v>22167300.23</v>
      </c>
      <c r="G13" s="29" t="n">
        <v>22626264.44</v>
      </c>
      <c r="H13" s="29" t="n">
        <v>166928.59</v>
      </c>
      <c r="I13" s="30" t="n">
        <v>0.25</v>
      </c>
      <c r="J13" s="30" t="n">
        <v>33.94</v>
      </c>
    </row>
    <row r="14">
      <c r="A14" s="25" t="inlineStr">
        <is>
          <t>Dec</t>
        </is>
      </c>
      <c r="B14" s="26" t="n">
        <v>74160443.33</v>
      </c>
      <c r="C14" s="26" t="n">
        <v>74824997.15000001</v>
      </c>
      <c r="D14" s="26" t="n">
        <v>43710196.5</v>
      </c>
      <c r="E14" s="26" t="n">
        <v>43439202</v>
      </c>
      <c r="F14" s="26" t="n">
        <v>30450246.83</v>
      </c>
      <c r="G14" s="26" t="n">
        <v>31385795.15</v>
      </c>
      <c r="H14" s="26" t="n">
        <v>664553.8199999999</v>
      </c>
      <c r="I14" s="27" t="n">
        <v>0.9</v>
      </c>
      <c r="J14" s="27" t="n">
        <v>41.95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A21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0" t="inlineStr">
        <is>
          <t>SQL QUERIES — Corporate Financial Variance Analysis System</t>
        </is>
      </c>
    </row>
    <row r="2" ht="14" customHeight="1">
      <c r="A2" s="51" t="inlineStr">
        <is>
          <t>-- DDL: DATABASE SCHEMA</t>
        </is>
      </c>
    </row>
    <row r="4" ht="14" customHeight="1">
      <c r="A4" s="52" t="inlineStr">
        <is>
          <t>-- ══════════════════════════════════════════════════════</t>
        </is>
      </c>
    </row>
    <row r="5" ht="14" customHeight="1">
      <c r="A5" s="52" t="inlineStr">
        <is>
          <t>-- TABLE 1: dim_period</t>
        </is>
      </c>
    </row>
    <row r="6" ht="14" customHeight="1">
      <c r="A6" s="53" t="inlineStr">
        <is>
          <t>CREATE TABLE dim_period (</t>
        </is>
      </c>
    </row>
    <row r="7" ht="14" customHeight="1">
      <c r="A7" s="53" t="inlineStr">
        <is>
          <t xml:space="preserve">    period_id       SERIAL PRIMARY KEY,</t>
        </is>
      </c>
    </row>
    <row r="8" ht="14" customHeight="1">
      <c r="A8" s="53" t="inlineStr">
        <is>
          <t xml:space="preserve">    year            INT,</t>
        </is>
      </c>
    </row>
    <row r="9" ht="14" customHeight="1">
      <c r="A9" s="53" t="inlineStr">
        <is>
          <t xml:space="preserve">    month_num       INT,</t>
        </is>
      </c>
    </row>
    <row r="10" ht="14" customHeight="1">
      <c r="A10" s="53" t="inlineStr">
        <is>
          <t xml:space="preserve">    month_name      VARCHAR(10),</t>
        </is>
      </c>
    </row>
    <row r="11" ht="14" customHeight="1">
      <c r="A11" s="53" t="inlineStr">
        <is>
          <t xml:space="preserve">    quarter         VARCHAR(5),</t>
        </is>
      </c>
    </row>
    <row r="12" ht="14" customHeight="1">
      <c r="A12" s="53" t="inlineStr">
        <is>
          <t xml:space="preserve">    is_ytd          BOOLEAN DEFAULT TRUE</t>
        </is>
      </c>
    </row>
    <row r="13" ht="14" customHeight="1">
      <c r="A13" s="53" t="inlineStr">
        <is>
          <t>);</t>
        </is>
      </c>
    </row>
    <row r="14" ht="14" customHeight="1">
      <c r="A14" s="53" t="inlineStr"/>
    </row>
    <row r="15" ht="14" customHeight="1">
      <c r="A15" s="52" t="inlineStr">
        <is>
          <t>-- TABLE 2: dim_region</t>
        </is>
      </c>
    </row>
    <row r="16" ht="14" customHeight="1">
      <c r="A16" s="53" t="inlineStr">
        <is>
          <t>CREATE TABLE dim_region (</t>
        </is>
      </c>
    </row>
    <row r="17" ht="14" customHeight="1">
      <c r="A17" s="53" t="inlineStr">
        <is>
          <t xml:space="preserve">    region_id       SERIAL PRIMARY KEY,</t>
        </is>
      </c>
    </row>
    <row r="18" ht="14" customHeight="1">
      <c r="A18" s="53" t="inlineStr">
        <is>
          <t xml:space="preserve">    region_name     VARCHAR(50),</t>
        </is>
      </c>
    </row>
    <row r="19" ht="14" customHeight="1">
      <c r="A19" s="53" t="inlineStr">
        <is>
          <t xml:space="preserve">    region_code     CHAR(5),</t>
        </is>
      </c>
    </row>
    <row r="20" ht="14" customHeight="1">
      <c r="A20" s="53" t="inlineStr">
        <is>
          <t xml:space="preserve">    currency        CHAR(3) DEFAULT 'USD'</t>
        </is>
      </c>
    </row>
    <row r="21" ht="14" customHeight="1">
      <c r="A21" s="53" t="inlineStr">
        <is>
          <t>);</t>
        </is>
      </c>
    </row>
    <row r="22" ht="14" customHeight="1">
      <c r="A22" s="53" t="inlineStr"/>
    </row>
    <row r="23" ht="14" customHeight="1">
      <c r="A23" s="52" t="inlineStr">
        <is>
          <t>-- TABLE 3: dim_segment</t>
        </is>
      </c>
    </row>
    <row r="24" ht="14" customHeight="1">
      <c r="A24" s="53" t="inlineStr">
        <is>
          <t>CREATE TABLE dim_segment (</t>
        </is>
      </c>
    </row>
    <row r="25" ht="14" customHeight="1">
      <c r="A25" s="53" t="inlineStr">
        <is>
          <t xml:space="preserve">    segment_id      SERIAL PRIMARY KEY,</t>
        </is>
      </c>
    </row>
    <row r="26" ht="14" customHeight="1">
      <c r="A26" s="53" t="inlineStr">
        <is>
          <t xml:space="preserve">    segment_name    VARCHAR(50),</t>
        </is>
      </c>
    </row>
    <row r="27" ht="14" customHeight="1">
      <c r="A27" s="53" t="inlineStr">
        <is>
          <t xml:space="preserve">    asset_class     VARCHAR(30),</t>
        </is>
      </c>
    </row>
    <row r="28" ht="14" customHeight="1">
      <c r="A28" s="53" t="inlineStr">
        <is>
          <t xml:space="preserve">    risk_profile    VARCHAR(20)</t>
        </is>
      </c>
    </row>
    <row r="29" ht="14" customHeight="1">
      <c r="A29" s="53" t="inlineStr">
        <is>
          <t>);</t>
        </is>
      </c>
    </row>
    <row r="30" ht="14" customHeight="1">
      <c r="A30" s="53" t="inlineStr"/>
    </row>
    <row r="31" ht="14" customHeight="1">
      <c r="A31" s="52" t="inlineStr">
        <is>
          <t>-- TABLE 4: dim_client</t>
        </is>
      </c>
    </row>
    <row r="32" ht="14" customHeight="1">
      <c r="A32" s="53" t="inlineStr">
        <is>
          <t>CREATE TABLE dim_client (</t>
        </is>
      </c>
    </row>
    <row r="33" ht="14" customHeight="1">
      <c r="A33" s="53" t="inlineStr">
        <is>
          <t xml:space="preserve">    client_id       SERIAL PRIMARY KEY,</t>
        </is>
      </c>
    </row>
    <row r="34" ht="14" customHeight="1">
      <c r="A34" s="53" t="inlineStr">
        <is>
          <t xml:space="preserve">    client_name     VARCHAR(100),</t>
        </is>
      </c>
    </row>
    <row r="35" ht="14" customHeight="1">
      <c r="A35" s="53" t="inlineStr">
        <is>
          <t xml:space="preserve">    client_tier     VARCHAR(20),</t>
        </is>
      </c>
    </row>
    <row r="36" ht="14" customHeight="1">
      <c r="A36" s="53" t="inlineStr">
        <is>
          <t xml:space="preserve">    region_id       INT REFERENCES dim_region(region_id),</t>
        </is>
      </c>
    </row>
    <row r="37" ht="14" customHeight="1">
      <c r="A37" s="53" t="inlineStr">
        <is>
          <t xml:space="preserve">    segment_id      INT REFERENCES dim_segment(segment_id),</t>
        </is>
      </c>
    </row>
    <row r="38" ht="14" customHeight="1">
      <c r="A38" s="53" t="inlineStr">
        <is>
          <t xml:space="preserve">    onboard_date    DATE,</t>
        </is>
      </c>
    </row>
    <row r="39" ht="14" customHeight="1">
      <c r="A39" s="53" t="inlineStr">
        <is>
          <t xml:space="preserve">    relationship_mgr VARCHAR(50)</t>
        </is>
      </c>
    </row>
    <row r="40" ht="14" customHeight="1">
      <c r="A40" s="53" t="inlineStr">
        <is>
          <t>);</t>
        </is>
      </c>
    </row>
    <row r="41" ht="14" customHeight="1">
      <c r="A41" s="53" t="inlineStr"/>
    </row>
    <row r="42" ht="14" customHeight="1">
      <c r="A42" s="52" t="inlineStr">
        <is>
          <t>-- TABLE 5: fact_financials (main fact table)</t>
        </is>
      </c>
    </row>
    <row r="43" ht="14" customHeight="1">
      <c r="A43" s="53" t="inlineStr">
        <is>
          <t>CREATE TABLE fact_financials (</t>
        </is>
      </c>
    </row>
    <row r="44" ht="14" customHeight="1">
      <c r="A44" s="53" t="inlineStr">
        <is>
          <t xml:space="preserve">    fact_id         SERIAL PRIMARY KEY,</t>
        </is>
      </c>
    </row>
    <row r="45" ht="14" customHeight="1">
      <c r="A45" s="53" t="inlineStr">
        <is>
          <t xml:space="preserve">    period_id       INT REFERENCES dim_period(period_id),</t>
        </is>
      </c>
    </row>
    <row r="46" ht="14" customHeight="1">
      <c r="A46" s="53" t="inlineStr">
        <is>
          <t xml:space="preserve">    region_id       INT REFERENCES dim_region(region_id),</t>
        </is>
      </c>
    </row>
    <row r="47" ht="14" customHeight="1">
      <c r="A47" s="53" t="inlineStr">
        <is>
          <t xml:space="preserve">    segment_id      INT REFERENCES dim_segment(segment_id),</t>
        </is>
      </c>
    </row>
    <row r="48" ht="14" customHeight="1">
      <c r="A48" s="53" t="inlineStr">
        <is>
          <t xml:space="preserve">    revenue_budget  DECIMAL(18,2),</t>
        </is>
      </c>
    </row>
    <row r="49" ht="14" customHeight="1">
      <c r="A49" s="53" t="inlineStr">
        <is>
          <t xml:space="preserve">    revenue_actual  DECIMAL(18,2),</t>
        </is>
      </c>
    </row>
    <row r="50" ht="14" customHeight="1">
      <c r="A50" s="53" t="inlineStr">
        <is>
          <t xml:space="preserve">    expense_budget  DECIMAL(18,2),</t>
        </is>
      </c>
    </row>
    <row r="51" ht="14" customHeight="1">
      <c r="A51" s="53" t="inlineStr">
        <is>
          <t xml:space="preserve">    expense_actual  DECIMAL(18,2),</t>
        </is>
      </c>
    </row>
    <row r="52" ht="14" customHeight="1">
      <c r="A52" s="53" t="inlineStr">
        <is>
          <t xml:space="preserve">    aum             DECIMAL(20,2),</t>
        </is>
      </c>
    </row>
    <row r="53" ht="14" customHeight="1">
      <c r="A53" s="53" t="inlineStr">
        <is>
          <t xml:space="preserve">    created_at      TIMESTAMP DEFAULT NOW()</t>
        </is>
      </c>
    </row>
    <row r="54" ht="14" customHeight="1">
      <c r="A54" s="53" t="inlineStr">
        <is>
          <t>);</t>
        </is>
      </c>
    </row>
    <row r="55" ht="14" customHeight="1">
      <c r="A55" s="53" t="inlineStr"/>
    </row>
    <row r="56" ht="14" customHeight="1">
      <c r="A56" s="52" t="inlineStr">
        <is>
          <t>-- TABLE 6: fact_kpi</t>
        </is>
      </c>
    </row>
    <row r="57" ht="14" customHeight="1">
      <c r="A57" s="53" t="inlineStr">
        <is>
          <t>CREATE TABLE fact_kpi (</t>
        </is>
      </c>
    </row>
    <row r="58" ht="14" customHeight="1">
      <c r="A58" s="53" t="inlineStr">
        <is>
          <t xml:space="preserve">    kpi_id          SERIAL PRIMARY KEY,</t>
        </is>
      </c>
    </row>
    <row r="59" ht="14" customHeight="1">
      <c r="A59" s="53" t="inlineStr">
        <is>
          <t xml:space="preserve">    period_id       INT REFERENCES dim_period(period_id),</t>
        </is>
      </c>
    </row>
    <row r="60" ht="14" customHeight="1">
      <c r="A60" s="53" t="inlineStr">
        <is>
          <t xml:space="preserve">    kpi_name        VARCHAR(60),</t>
        </is>
      </c>
    </row>
    <row r="61" ht="14" customHeight="1">
      <c r="A61" s="53" t="inlineStr">
        <is>
          <t xml:space="preserve">    kpi_target      DECIMAL(12,4),</t>
        </is>
      </c>
    </row>
    <row r="62" ht="14" customHeight="1">
      <c r="A62" s="53" t="inlineStr">
        <is>
          <t xml:space="preserve">    kpi_actual      DECIMAL(12,4),</t>
        </is>
      </c>
    </row>
    <row r="63" ht="14" customHeight="1">
      <c r="A63" s="53" t="inlineStr">
        <is>
          <t xml:space="preserve">    region_id       INT REFERENCES dim_region(region_id)</t>
        </is>
      </c>
    </row>
    <row r="64" ht="14" customHeight="1">
      <c r="A64" s="53" t="inlineStr">
        <is>
          <t>);</t>
        </is>
      </c>
    </row>
    <row r="65" ht="14" customHeight="1">
      <c r="A65" s="53" t="inlineStr"/>
    </row>
    <row r="66" ht="14" customHeight="1">
      <c r="A66" s="52" t="inlineStr">
        <is>
          <t>-- TABLE 7: fact_client_revenue</t>
        </is>
      </c>
    </row>
    <row r="67" ht="14" customHeight="1">
      <c r="A67" s="53" t="inlineStr">
        <is>
          <t>CREATE TABLE fact_client_revenue (</t>
        </is>
      </c>
    </row>
    <row r="68" ht="14" customHeight="1">
      <c r="A68" s="53" t="inlineStr">
        <is>
          <t xml:space="preserve">    rev_id          SERIAL PRIMARY KEY,</t>
        </is>
      </c>
    </row>
    <row r="69" ht="14" customHeight="1">
      <c r="A69" s="53" t="inlineStr">
        <is>
          <t xml:space="preserve">    client_id       INT REFERENCES dim_client(client_id),</t>
        </is>
      </c>
    </row>
    <row r="70" ht="14" customHeight="1">
      <c r="A70" s="53" t="inlineStr">
        <is>
          <t xml:space="preserve">    period_id       INT REFERENCES dim_period(period_id),</t>
        </is>
      </c>
    </row>
    <row r="71" ht="14" customHeight="1">
      <c r="A71" s="53" t="inlineStr">
        <is>
          <t xml:space="preserve">    aum             DECIMAL(20,2),</t>
        </is>
      </c>
    </row>
    <row r="72" ht="14" customHeight="1">
      <c r="A72" s="53" t="inlineStr">
        <is>
          <t xml:space="preserve">    management_fee  DECIMAL(14,2),</t>
        </is>
      </c>
    </row>
    <row r="73" ht="14" customHeight="1">
      <c r="A73" s="53" t="inlineStr">
        <is>
          <t xml:space="preserve">    performance_fee DECIMAL(14,2),</t>
        </is>
      </c>
    </row>
    <row r="74" ht="14" customHeight="1">
      <c r="A74" s="53" t="inlineStr">
        <is>
          <t xml:space="preserve">    satisfaction    DECIMAL(4,2)</t>
        </is>
      </c>
    </row>
    <row r="75" ht="14" customHeight="1">
      <c r="A75" s="53" t="inlineStr">
        <is>
          <t>);</t>
        </is>
      </c>
    </row>
    <row r="77" ht="14" customHeight="1">
      <c r="A77" s="51" t="inlineStr">
        <is>
          <t>-- QUERY 1: Budget vs Actual Variance Summary</t>
        </is>
      </c>
    </row>
    <row r="79" ht="14" customHeight="1">
      <c r="A79" s="53" t="inlineStr">
        <is>
          <t>WITH variance_calc AS (</t>
        </is>
      </c>
    </row>
    <row r="80" ht="14" customHeight="1">
      <c r="A80" s="53" t="inlineStr">
        <is>
          <t xml:space="preserve">    SELECT</t>
        </is>
      </c>
    </row>
    <row r="81" ht="14" customHeight="1">
      <c r="A81" s="53" t="inlineStr">
        <is>
          <t xml:space="preserve">        p.year,</t>
        </is>
      </c>
    </row>
    <row r="82" ht="14" customHeight="1">
      <c r="A82" s="53" t="inlineStr">
        <is>
          <t xml:space="preserve">        p.month_name,</t>
        </is>
      </c>
    </row>
    <row r="83" ht="14" customHeight="1">
      <c r="A83" s="53" t="inlineStr">
        <is>
          <t xml:space="preserve">        p.quarter,</t>
        </is>
      </c>
    </row>
    <row r="84" ht="14" customHeight="1">
      <c r="A84" s="53" t="inlineStr">
        <is>
          <t xml:space="preserve">        r.region_name,</t>
        </is>
      </c>
    </row>
    <row r="85" ht="14" customHeight="1">
      <c r="A85" s="53" t="inlineStr">
        <is>
          <t xml:space="preserve">        s.segment_name,</t>
        </is>
      </c>
    </row>
    <row r="86" ht="14" customHeight="1">
      <c r="A86" s="53" t="inlineStr">
        <is>
          <t xml:space="preserve">        f.revenue_budget,</t>
        </is>
      </c>
    </row>
    <row r="87" ht="14" customHeight="1">
      <c r="A87" s="53" t="inlineStr">
        <is>
          <t xml:space="preserve">        f.revenue_actual,</t>
        </is>
      </c>
    </row>
    <row r="88" ht="14" customHeight="1">
      <c r="A88" s="53" t="inlineStr">
        <is>
          <t xml:space="preserve">        f.revenue_actual - f.revenue_budget           AS revenue_variance,</t>
        </is>
      </c>
    </row>
    <row r="89" ht="14" customHeight="1">
      <c r="A89" s="53" t="inlineStr">
        <is>
          <t xml:space="preserve">        ROUND((f.revenue_actual - f.revenue_budget)</t>
        </is>
      </c>
    </row>
    <row r="90" ht="14" customHeight="1">
      <c r="A90" s="53" t="inlineStr">
        <is>
          <t xml:space="preserve">              / NULLIF(f.revenue_budget,0) * 100, 2)  AS revenue_var_pct,</t>
        </is>
      </c>
    </row>
    <row r="91" ht="14" customHeight="1">
      <c r="A91" s="53" t="inlineStr">
        <is>
          <t xml:space="preserve">        f.expense_budget,</t>
        </is>
      </c>
    </row>
    <row r="92" ht="14" customHeight="1">
      <c r="A92" s="53" t="inlineStr">
        <is>
          <t xml:space="preserve">        f.expense_actual,</t>
        </is>
      </c>
    </row>
    <row r="93" ht="14" customHeight="1">
      <c r="A93" s="53" t="inlineStr">
        <is>
          <t xml:space="preserve">        f.expense_actual - f.expense_budget           AS expense_variance,</t>
        </is>
      </c>
    </row>
    <row r="94" ht="14" customHeight="1">
      <c r="A94" s="53" t="inlineStr">
        <is>
          <t xml:space="preserve">        (f.revenue_actual - f.expense_actual)         AS net_income_actual,</t>
        </is>
      </c>
    </row>
    <row r="95" ht="14" customHeight="1">
      <c r="A95" s="53" t="inlineStr">
        <is>
          <t xml:space="preserve">        (f.revenue_budget - f.expense_budget)         AS net_income_budget</t>
        </is>
      </c>
    </row>
    <row r="96" ht="14" customHeight="1">
      <c r="A96" s="53" t="inlineStr">
        <is>
          <t xml:space="preserve">    FROM    fact_financials f</t>
        </is>
      </c>
    </row>
    <row r="97" ht="14" customHeight="1">
      <c r="A97" s="53" t="inlineStr">
        <is>
          <t xml:space="preserve">    JOIN    dim_period  p ON f.period_id  = p.period_id</t>
        </is>
      </c>
    </row>
    <row r="98" ht="14" customHeight="1">
      <c r="A98" s="53" t="inlineStr">
        <is>
          <t xml:space="preserve">    JOIN    dim_region  r ON f.region_id  = r.region_id</t>
        </is>
      </c>
    </row>
    <row r="99" ht="14" customHeight="1">
      <c r="A99" s="53" t="inlineStr">
        <is>
          <t xml:space="preserve">    JOIN    dim_segment s ON f.segment_id = s.segment_id</t>
        </is>
      </c>
    </row>
    <row r="100" ht="14" customHeight="1">
      <c r="A100" s="53" t="inlineStr">
        <is>
          <t>)</t>
        </is>
      </c>
    </row>
    <row r="101" ht="14" customHeight="1">
      <c r="A101" s="53" t="inlineStr">
        <is>
          <t>SELECT  *,</t>
        </is>
      </c>
    </row>
    <row r="102" ht="14" customHeight="1">
      <c r="A102" s="53" t="inlineStr">
        <is>
          <t xml:space="preserve">        net_income_actual - net_income_budget         AS ni_variance,</t>
        </is>
      </c>
    </row>
    <row r="103" ht="14" customHeight="1">
      <c r="A103" s="53" t="inlineStr">
        <is>
          <t xml:space="preserve">        ROUND(net_income_actual</t>
        </is>
      </c>
    </row>
    <row r="104" ht="14" customHeight="1">
      <c r="A104" s="53" t="inlineStr">
        <is>
          <t xml:space="preserve">              / NULLIF(revenue_actual,0)*100, 2)      AS net_margin_pct,</t>
        </is>
      </c>
    </row>
    <row r="105" ht="14" customHeight="1">
      <c r="A105" s="53" t="inlineStr">
        <is>
          <t xml:space="preserve">        CASE</t>
        </is>
      </c>
    </row>
    <row r="106" ht="14" customHeight="1">
      <c r="A106" s="53" t="inlineStr">
        <is>
          <t xml:space="preserve">            WHEN ABS(revenue_var_pct) &lt;= 2  THEN 'ON TARGET'</t>
        </is>
      </c>
    </row>
    <row r="107" ht="14" customHeight="1">
      <c r="A107" s="53" t="inlineStr">
        <is>
          <t xml:space="preserve">            WHEN revenue_var_pct &gt; 2        THEN 'FAVORABLE'</t>
        </is>
      </c>
    </row>
    <row r="108" ht="14" customHeight="1">
      <c r="A108" s="53" t="inlineStr">
        <is>
          <t xml:space="preserve">            ELSE                                 'UNFAVORABLE'</t>
        </is>
      </c>
    </row>
    <row r="109" ht="14" customHeight="1">
      <c r="A109" s="53" t="inlineStr">
        <is>
          <t xml:space="preserve">        END AS variance_status</t>
        </is>
      </c>
    </row>
    <row r="110" ht="14" customHeight="1">
      <c r="A110" s="53" t="inlineStr">
        <is>
          <t>FROM    variance_calc</t>
        </is>
      </c>
    </row>
    <row r="111" ht="14" customHeight="1">
      <c r="A111" s="53" t="inlineStr">
        <is>
          <t>ORDER BY year, quarter, region_name;</t>
        </is>
      </c>
    </row>
    <row r="113" ht="14" customHeight="1">
      <c r="A113" s="51" t="inlineStr">
        <is>
          <t>-- QUERY 2: YTD Rolling Performance with Window Functions</t>
        </is>
      </c>
    </row>
    <row r="115" ht="14" customHeight="1">
      <c r="A115" s="53" t="inlineStr">
        <is>
          <t>SELECT</t>
        </is>
      </c>
    </row>
    <row r="116" ht="14" customHeight="1">
      <c r="A116" s="53" t="inlineStr">
        <is>
          <t xml:space="preserve">    p.month_name,</t>
        </is>
      </c>
    </row>
    <row r="117" ht="14" customHeight="1">
      <c r="A117" s="53" t="inlineStr">
        <is>
          <t xml:space="preserve">    r.region_name,</t>
        </is>
      </c>
    </row>
    <row r="118" ht="14" customHeight="1">
      <c r="A118" s="53" t="inlineStr">
        <is>
          <t xml:space="preserve">    f.revenue_actual,</t>
        </is>
      </c>
    </row>
    <row r="119" ht="14" customHeight="1">
      <c r="A119" s="53" t="inlineStr">
        <is>
          <t xml:space="preserve">    SUM(f.revenue_actual) OVER (</t>
        </is>
      </c>
    </row>
    <row r="120" ht="14" customHeight="1">
      <c r="A120" s="53" t="inlineStr">
        <is>
          <t xml:space="preserve">        PARTITION BY r.region_id</t>
        </is>
      </c>
    </row>
    <row r="121" ht="14" customHeight="1">
      <c r="A121" s="53" t="inlineStr">
        <is>
          <t xml:space="preserve">        ORDER BY p.month_num</t>
        </is>
      </c>
    </row>
    <row r="122" ht="14" customHeight="1">
      <c r="A122" s="53" t="inlineStr">
        <is>
          <t xml:space="preserve">        ROWS BETWEEN UNBOUNDED PRECEDING AND CURRENT ROW</t>
        </is>
      </c>
    </row>
    <row r="123" ht="14" customHeight="1">
      <c r="A123" s="53" t="inlineStr">
        <is>
          <t xml:space="preserve">    )                                                 AS ytd_revenue,</t>
        </is>
      </c>
    </row>
    <row r="124" ht="14" customHeight="1">
      <c r="A124" s="53" t="inlineStr">
        <is>
          <t xml:space="preserve">    AVG(f.revenue_actual) OVER (</t>
        </is>
      </c>
    </row>
    <row r="125" ht="14" customHeight="1">
      <c r="A125" s="53" t="inlineStr">
        <is>
          <t xml:space="preserve">        PARTITION BY r.region_id</t>
        </is>
      </c>
    </row>
    <row r="126" ht="14" customHeight="1">
      <c r="A126" s="53" t="inlineStr">
        <is>
          <t xml:space="preserve">        ORDER BY p.month_num</t>
        </is>
      </c>
    </row>
    <row r="127" ht="14" customHeight="1">
      <c r="A127" s="53" t="inlineStr">
        <is>
          <t xml:space="preserve">        ROWS BETWEEN 2 PRECEDING AND CURRENT ROW</t>
        </is>
      </c>
    </row>
    <row r="128" ht="14" customHeight="1">
      <c r="A128" s="53" t="inlineStr">
        <is>
          <t xml:space="preserve">    )                                                 AS rolling_3m_avg,</t>
        </is>
      </c>
    </row>
    <row r="129" ht="14" customHeight="1">
      <c r="A129" s="53" t="inlineStr">
        <is>
          <t xml:space="preserve">    LAG(f.revenue_actual, 1) OVER (</t>
        </is>
      </c>
    </row>
    <row r="130" ht="14" customHeight="1">
      <c r="A130" s="53" t="inlineStr">
        <is>
          <t xml:space="preserve">        PARTITION BY r.region_id ORDER BY p.month_num</t>
        </is>
      </c>
    </row>
    <row r="131" ht="14" customHeight="1">
      <c r="A131" s="53" t="inlineStr">
        <is>
          <t xml:space="preserve">    )                                                 AS prev_month_revenue,</t>
        </is>
      </c>
    </row>
    <row r="132" ht="14" customHeight="1">
      <c r="A132" s="53" t="inlineStr">
        <is>
          <t xml:space="preserve">    ROUND((f.revenue_actual - LAG(f.revenue_actual,1) OVER (</t>
        </is>
      </c>
    </row>
    <row r="133" ht="14" customHeight="1">
      <c r="A133" s="53" t="inlineStr">
        <is>
          <t xml:space="preserve">        PARTITION BY r.region_id ORDER BY p.month_num))</t>
        </is>
      </c>
    </row>
    <row r="134" ht="14" customHeight="1">
      <c r="A134" s="53" t="inlineStr">
        <is>
          <t xml:space="preserve">        / NULLIF(LAG(f.revenue_actual,1) OVER (</t>
        </is>
      </c>
    </row>
    <row r="135" ht="14" customHeight="1">
      <c r="A135" s="53" t="inlineStr">
        <is>
          <t xml:space="preserve">        PARTITION BY r.region_id ORDER BY p.month_num),0)*100,2)</t>
        </is>
      </c>
    </row>
    <row r="136" ht="14" customHeight="1">
      <c r="A136" s="53" t="inlineStr">
        <is>
          <t xml:space="preserve">                                                      AS mom_growth_pct</t>
        </is>
      </c>
    </row>
    <row r="137" ht="14" customHeight="1">
      <c r="A137" s="53" t="inlineStr">
        <is>
          <t>FROM    fact_financials f</t>
        </is>
      </c>
    </row>
    <row r="138" ht="14" customHeight="1">
      <c r="A138" s="53" t="inlineStr">
        <is>
          <t>JOIN    dim_period  p ON f.period_id = p.period_id</t>
        </is>
      </c>
    </row>
    <row r="139" ht="14" customHeight="1">
      <c r="A139" s="53" t="inlineStr">
        <is>
          <t>JOIN    dim_region  r ON f.region_id = r.region_id</t>
        </is>
      </c>
    </row>
    <row r="140" ht="14" customHeight="1">
      <c r="A140" s="53" t="inlineStr">
        <is>
          <t>ORDER BY r.region_name, p.month_num;</t>
        </is>
      </c>
    </row>
    <row r="142" ht="14" customHeight="1">
      <c r="A142" s="51" t="inlineStr">
        <is>
          <t>-- QUERY 3: KPI Scorecard with Ranking</t>
        </is>
      </c>
    </row>
    <row r="144" ht="14" customHeight="1">
      <c r="A144" s="53" t="inlineStr">
        <is>
          <t>WITH kpi_ranked AS (</t>
        </is>
      </c>
    </row>
    <row r="145" ht="14" customHeight="1">
      <c r="A145" s="53" t="inlineStr">
        <is>
          <t xml:space="preserve">    SELECT</t>
        </is>
      </c>
    </row>
    <row r="146" ht="14" customHeight="1">
      <c r="A146" s="53" t="inlineStr">
        <is>
          <t xml:space="preserve">        k.kpi_name,</t>
        </is>
      </c>
    </row>
    <row r="147" ht="14" customHeight="1">
      <c r="A147" s="53" t="inlineStr">
        <is>
          <t xml:space="preserve">        p.month_name,</t>
        </is>
      </c>
    </row>
    <row r="148" ht="14" customHeight="1">
      <c r="A148" s="53" t="inlineStr">
        <is>
          <t xml:space="preserve">        r.region_name,</t>
        </is>
      </c>
    </row>
    <row r="149" ht="14" customHeight="1">
      <c r="A149" s="53" t="inlineStr">
        <is>
          <t xml:space="preserve">        k.kpi_target,</t>
        </is>
      </c>
    </row>
    <row r="150" ht="14" customHeight="1">
      <c r="A150" s="53" t="inlineStr">
        <is>
          <t xml:space="preserve">        k.kpi_actual,</t>
        </is>
      </c>
    </row>
    <row r="151" ht="14" customHeight="1">
      <c r="A151" s="53" t="inlineStr">
        <is>
          <t xml:space="preserve">        k.kpi_actual - k.kpi_target                  AS variance,</t>
        </is>
      </c>
    </row>
    <row r="152" ht="14" customHeight="1">
      <c r="A152" s="53" t="inlineStr">
        <is>
          <t xml:space="preserve">        ROUND((k.kpi_actual - k.kpi_target)</t>
        </is>
      </c>
    </row>
    <row r="153" ht="14" customHeight="1">
      <c r="A153" s="53" t="inlineStr">
        <is>
          <t xml:space="preserve">              / NULLIF(k.kpi_target,0)*100,2)         AS variance_pct,</t>
        </is>
      </c>
    </row>
    <row r="154" ht="14" customHeight="1">
      <c r="A154" s="53" t="inlineStr">
        <is>
          <t xml:space="preserve">        RANK() OVER (</t>
        </is>
      </c>
    </row>
    <row r="155" ht="14" customHeight="1">
      <c r="A155" s="53" t="inlineStr">
        <is>
          <t xml:space="preserve">            PARTITION BY k.kpi_name</t>
        </is>
      </c>
    </row>
    <row r="156" ht="14" customHeight="1">
      <c r="A156" s="53" t="inlineStr">
        <is>
          <t xml:space="preserve">            ORDER BY k.kpi_actual DESC</t>
        </is>
      </c>
    </row>
    <row r="157" ht="14" customHeight="1">
      <c r="A157" s="53" t="inlineStr">
        <is>
          <t xml:space="preserve">        )                                             AS performance_rank,</t>
        </is>
      </c>
    </row>
    <row r="158" ht="14" customHeight="1">
      <c r="A158" s="53" t="inlineStr">
        <is>
          <t xml:space="preserve">        CASE</t>
        </is>
      </c>
    </row>
    <row r="159" ht="14" customHeight="1">
      <c r="A159" s="53" t="inlineStr">
        <is>
          <t xml:space="preserve">            WHEN ABS((k.kpi_actual-k.kpi_target)/NULLIF(k.kpi_target,0)) &lt;= 0.05</t>
        </is>
      </c>
    </row>
    <row r="160" ht="14" customHeight="1">
      <c r="A160" s="53" t="inlineStr">
        <is>
          <t xml:space="preserve">                                                      THEN 'ON TARGET'</t>
        </is>
      </c>
    </row>
    <row r="161" ht="14" customHeight="1">
      <c r="A161" s="53" t="inlineStr">
        <is>
          <t xml:space="preserve">            WHEN k.kpi_actual &gt; k.kpi_target          THEN 'ABOVE TARGET'</t>
        </is>
      </c>
    </row>
    <row r="162" ht="14" customHeight="1">
      <c r="A162" s="53" t="inlineStr">
        <is>
          <t xml:space="preserve">            ELSE                                           'BELOW TARGET'</t>
        </is>
      </c>
    </row>
    <row r="163" ht="14" customHeight="1">
      <c r="A163" s="53" t="inlineStr">
        <is>
          <t xml:space="preserve">        END AS status</t>
        </is>
      </c>
    </row>
    <row r="164" ht="14" customHeight="1">
      <c r="A164" s="53" t="inlineStr">
        <is>
          <t xml:space="preserve">    FROM    fact_kpi k</t>
        </is>
      </c>
    </row>
    <row r="165" ht="14" customHeight="1">
      <c r="A165" s="53" t="inlineStr">
        <is>
          <t xml:space="preserve">    JOIN    dim_period p ON k.period_id = p.period_id</t>
        </is>
      </c>
    </row>
    <row r="166" ht="14" customHeight="1">
      <c r="A166" s="53" t="inlineStr">
        <is>
          <t xml:space="preserve">    JOIN    dim_region r ON k.region_id = r.region_id</t>
        </is>
      </c>
    </row>
    <row r="167" ht="14" customHeight="1">
      <c r="A167" s="53" t="inlineStr">
        <is>
          <t>)</t>
        </is>
      </c>
    </row>
    <row r="168" ht="14" customHeight="1">
      <c r="A168" s="53" t="inlineStr">
        <is>
          <t>SELECT * FROM kpi_ranked ORDER BY kpi_name, month_name;</t>
        </is>
      </c>
    </row>
    <row r="170" ht="14" customHeight="1">
      <c r="A170" s="51" t="inlineStr">
        <is>
          <t>-- QUERY 4: Client Revenue &amp; AUM Analysis</t>
        </is>
      </c>
    </row>
    <row r="172" ht="14" customHeight="1">
      <c r="A172" s="53" t="inlineStr">
        <is>
          <t>SELECT</t>
        </is>
      </c>
    </row>
    <row r="173" ht="14" customHeight="1">
      <c r="A173" s="53" t="inlineStr">
        <is>
          <t xml:space="preserve">    c.client_name,</t>
        </is>
      </c>
    </row>
    <row r="174" ht="14" customHeight="1">
      <c r="A174" s="53" t="inlineStr">
        <is>
          <t xml:space="preserve">    c.client_tier,</t>
        </is>
      </c>
    </row>
    <row r="175" ht="14" customHeight="1">
      <c r="A175" s="53" t="inlineStr">
        <is>
          <t xml:space="preserve">    r.region_name,</t>
        </is>
      </c>
    </row>
    <row r="176" ht="14" customHeight="1">
      <c r="A176" s="53" t="inlineStr">
        <is>
          <t xml:space="preserve">    SUM(cr.management_fee + cr.performance_fee)       AS total_revenue,</t>
        </is>
      </c>
    </row>
    <row r="177" ht="14" customHeight="1">
      <c r="A177" s="53" t="inlineStr">
        <is>
          <t xml:space="preserve">    AVG(cr.aum)                                       AS avg_aum,</t>
        </is>
      </c>
    </row>
    <row r="178" ht="14" customHeight="1">
      <c r="A178" s="53" t="inlineStr">
        <is>
          <t xml:space="preserve">    ROUND(SUM(cr.management_fee + cr.performance_fee)</t>
        </is>
      </c>
    </row>
    <row r="179" ht="14" customHeight="1">
      <c r="A179" s="53" t="inlineStr">
        <is>
          <t xml:space="preserve">          / NULLIF(AVG(cr.aum),0)*10000, 2)           AS avg_fee_bps,</t>
        </is>
      </c>
    </row>
    <row r="180" ht="14" customHeight="1">
      <c r="A180" s="53" t="inlineStr">
        <is>
          <t xml:space="preserve">    AVG(cr.satisfaction)                              AS avg_satisfaction,</t>
        </is>
      </c>
    </row>
    <row r="181" ht="14" customHeight="1">
      <c r="A181" s="53" t="inlineStr">
        <is>
          <t xml:space="preserve">    NTILE(4) OVER (ORDER BY</t>
        </is>
      </c>
    </row>
    <row r="182" ht="14" customHeight="1">
      <c r="A182" s="53" t="inlineStr">
        <is>
          <t xml:space="preserve">        SUM(cr.management_fee+cr.performance_fee) DESC) AS revenue_quartile</t>
        </is>
      </c>
    </row>
    <row r="183" ht="14" customHeight="1">
      <c r="A183" s="53" t="inlineStr">
        <is>
          <t>FROM    fact_client_revenue cr</t>
        </is>
      </c>
    </row>
    <row r="184" ht="14" customHeight="1">
      <c r="A184" s="53" t="inlineStr">
        <is>
          <t>JOIN    dim_client  c ON cr.client_id  = c.client_id</t>
        </is>
      </c>
    </row>
    <row r="185" ht="14" customHeight="1">
      <c r="A185" s="53" t="inlineStr">
        <is>
          <t>JOIN    dim_region  r ON c.region_id   = r.region_id</t>
        </is>
      </c>
    </row>
    <row r="186" ht="14" customHeight="1">
      <c r="A186" s="53" t="inlineStr">
        <is>
          <t>GROUP BY c.client_name, c.client_tier, r.region_name</t>
        </is>
      </c>
    </row>
    <row r="187" ht="14" customHeight="1">
      <c r="A187" s="53" t="inlineStr">
        <is>
          <t>ORDER BY total_revenue DESC;</t>
        </is>
      </c>
    </row>
    <row r="189" ht="14" customHeight="1">
      <c r="A189" s="51" t="inlineStr">
        <is>
          <t>-- QUERY 5: Automated Monthly Report Stored Procedure</t>
        </is>
      </c>
    </row>
    <row r="191" ht="14" customHeight="1">
      <c r="A191" s="53" t="inlineStr">
        <is>
          <t>CREATE OR REPLACE PROCEDURE generate_monthly_report(p_year INT, p_month INT)</t>
        </is>
      </c>
    </row>
    <row r="192" ht="14" customHeight="1">
      <c r="A192" s="53" t="inlineStr">
        <is>
          <t>LANGUAGE plpgsql AS $$</t>
        </is>
      </c>
    </row>
    <row r="193" ht="14" customHeight="1">
      <c r="A193" s="53" t="inlineStr">
        <is>
          <t>BEGIN</t>
        </is>
      </c>
    </row>
    <row r="194" ht="14" customHeight="1">
      <c r="A194" s="52" t="inlineStr">
        <is>
          <t xml:space="preserve">    -- Refresh variance summary</t>
        </is>
      </c>
    </row>
    <row r="195" ht="14" customHeight="1">
      <c r="A195" s="53" t="inlineStr">
        <is>
          <t xml:space="preserve">    DELETE FROM monthly_variance_summary</t>
        </is>
      </c>
    </row>
    <row r="196" ht="14" customHeight="1">
      <c r="A196" s="53" t="inlineStr">
        <is>
          <t xml:space="preserve">    WHERE year = p_year AND month_num = p_month;</t>
        </is>
      </c>
    </row>
    <row r="197" ht="14" customHeight="1">
      <c r="A197" s="53" t="inlineStr"/>
    </row>
    <row r="198" ht="14" customHeight="1">
      <c r="A198" s="53" t="inlineStr">
        <is>
          <t xml:space="preserve">    INSERT INTO monthly_variance_summary</t>
        </is>
      </c>
    </row>
    <row r="199" ht="14" customHeight="1">
      <c r="A199" s="53" t="inlineStr">
        <is>
          <t xml:space="preserve">    SELECT</t>
        </is>
      </c>
    </row>
    <row r="200" ht="14" customHeight="1">
      <c r="A200" s="53" t="inlineStr">
        <is>
          <t xml:space="preserve">        p_year, p_month,</t>
        </is>
      </c>
    </row>
    <row r="201" ht="14" customHeight="1">
      <c r="A201" s="53" t="inlineStr">
        <is>
          <t xml:space="preserve">        r.region_name, s.segment_name,</t>
        </is>
      </c>
    </row>
    <row r="202" ht="14" customHeight="1">
      <c r="A202" s="53" t="inlineStr">
        <is>
          <t xml:space="preserve">        SUM(f.revenue_budget), SUM(f.revenue_actual),</t>
        </is>
      </c>
    </row>
    <row r="203" ht="14" customHeight="1">
      <c r="A203" s="53" t="inlineStr">
        <is>
          <t xml:space="preserve">        SUM(f.expense_budget), SUM(f.expense_actual),</t>
        </is>
      </c>
    </row>
    <row r="204" ht="14" customHeight="1">
      <c r="A204" s="53" t="inlineStr">
        <is>
          <t xml:space="preserve">        NOW()</t>
        </is>
      </c>
    </row>
    <row r="205" ht="14" customHeight="1">
      <c r="A205" s="53" t="inlineStr">
        <is>
          <t xml:space="preserve">    FROM fact_financials f</t>
        </is>
      </c>
    </row>
    <row r="206" ht="14" customHeight="1">
      <c r="A206" s="53" t="inlineStr">
        <is>
          <t xml:space="preserve">    JOIN dim_period  p ON f.period_id  = p.period_id</t>
        </is>
      </c>
    </row>
    <row r="207" ht="14" customHeight="1">
      <c r="A207" s="53" t="inlineStr">
        <is>
          <t xml:space="preserve">    JOIN dim_region  r ON f.region_id  = r.region_id</t>
        </is>
      </c>
    </row>
    <row r="208" ht="14" customHeight="1">
      <c r="A208" s="53" t="inlineStr">
        <is>
          <t xml:space="preserve">    JOIN dim_segment s ON f.segment_id = s.segment_id</t>
        </is>
      </c>
    </row>
    <row r="209" ht="14" customHeight="1">
      <c r="A209" s="53" t="inlineStr">
        <is>
          <t xml:space="preserve">    WHERE p.year = p_year AND p.month_num = p_month</t>
        </is>
      </c>
    </row>
    <row r="210" ht="14" customHeight="1">
      <c r="A210" s="53" t="inlineStr">
        <is>
          <t xml:space="preserve">    GROUP BY r.region_name, s.segment_name;</t>
        </is>
      </c>
    </row>
    <row r="211" ht="14" customHeight="1">
      <c r="A211" s="53" t="inlineStr"/>
    </row>
    <row r="212" ht="14" customHeight="1">
      <c r="A212" s="53" t="inlineStr">
        <is>
          <t xml:space="preserve">    RAISE NOTICE 'Monthly report generated for %-%', p_year, p_month;</t>
        </is>
      </c>
    </row>
    <row r="213" ht="14" customHeight="1">
      <c r="A213" s="53" t="inlineStr">
        <is>
          <t>END;</t>
        </is>
      </c>
    </row>
    <row r="214" ht="14" customHeight="1">
      <c r="A214" s="53" t="inlineStr">
        <is>
          <t>$$;</t>
        </is>
      </c>
    </row>
    <row r="215" ht="14" customHeight="1">
      <c r="A215" s="53" t="inlineStr"/>
    </row>
    <row r="216" ht="14" customHeight="1">
      <c r="A216" s="52" t="inlineStr">
        <is>
          <t>-- CALL generate_monthly_report(2024, 7);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5631"/>
    <outlinePr summaryBelow="1" summaryRight="1"/>
    <pageSetUpPr/>
  </sheetPr>
  <dimension ref="A1:A18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0" t="inlineStr">
        <is>
          <t>PYTHON AUTOMATION ENGINE — variance_engine.py</t>
        </is>
      </c>
    </row>
    <row r="2" ht="14" customHeight="1">
      <c r="A2" s="54" t="inlineStr">
        <is>
          <t># ═══════════════════════════════════════════════════════════════════════════</t>
        </is>
      </c>
    </row>
    <row r="3" ht="14" customHeight="1">
      <c r="A3" s="54" t="inlineStr">
        <is>
          <t># FILE: variance_engine.py</t>
        </is>
      </c>
    </row>
    <row r="4" ht="14" customHeight="1">
      <c r="A4" s="54" t="inlineStr">
        <is>
          <t># PURPOSE: Corporate Financial Variance Analysis Automation Engine</t>
        </is>
      </c>
    </row>
    <row r="5" ht="14" customHeight="1">
      <c r="A5" s="54" t="inlineStr">
        <is>
          <t># DOMAIN: Asset Management | Financial Reporting</t>
        </is>
      </c>
    </row>
    <row r="6" ht="14" customHeight="1">
      <c r="A6" s="54" t="inlineStr">
        <is>
          <t># ═══════════════════════════════════════════════════════════════════════════</t>
        </is>
      </c>
    </row>
    <row r="7" ht="14" customHeight="1">
      <c r="A7" s="53" t="inlineStr"/>
    </row>
    <row r="8" ht="14" customHeight="1">
      <c r="A8" s="53" t="inlineStr">
        <is>
          <t>import pandas as pd</t>
        </is>
      </c>
    </row>
    <row r="9" ht="14" customHeight="1">
      <c r="A9" s="53" t="inlineStr">
        <is>
          <t>import numpy as np</t>
        </is>
      </c>
    </row>
    <row r="10" ht="14" customHeight="1">
      <c r="A10" s="53" t="inlineStr">
        <is>
          <t>import sqlite3</t>
        </is>
      </c>
    </row>
    <row r="11" ht="14" customHeight="1">
      <c r="A11" s="53" t="inlineStr">
        <is>
          <t>import json</t>
        </is>
      </c>
    </row>
    <row r="12" ht="14" customHeight="1">
      <c r="A12" s="53" t="inlineStr">
        <is>
          <t>import logging</t>
        </is>
      </c>
    </row>
    <row r="13" ht="14" customHeight="1">
      <c r="A13" s="53" t="inlineStr">
        <is>
          <t>from datetime import datetime</t>
        </is>
      </c>
    </row>
    <row r="14" ht="14" customHeight="1">
      <c r="A14" s="53" t="inlineStr">
        <is>
          <t>from pathlib import Path</t>
        </is>
      </c>
    </row>
    <row r="15" ht="14" customHeight="1">
      <c r="A15" s="53" t="inlineStr"/>
    </row>
    <row r="16" ht="14" customHeight="1">
      <c r="A16" s="53" t="inlineStr">
        <is>
          <t>logging.basicConfig(level=logging.INFO,</t>
        </is>
      </c>
    </row>
    <row r="17" ht="14" customHeight="1">
      <c r="A17" s="53" t="inlineStr">
        <is>
          <t xml:space="preserve">                    format="%(asctime)s [%(levelname)s] %(message)s")</t>
        </is>
      </c>
    </row>
    <row r="18" ht="14" customHeight="1">
      <c r="A18" s="53" t="inlineStr">
        <is>
          <t>logger = logging.getLogger(__name__)</t>
        </is>
      </c>
    </row>
    <row r="19" ht="14" customHeight="1">
      <c r="A19" s="53" t="inlineStr"/>
    </row>
    <row r="20" ht="14" customHeight="1">
      <c r="A20" s="53" t="inlineStr"/>
    </row>
    <row r="21" ht="14" customHeight="1">
      <c r="A21" s="53" t="inlineStr">
        <is>
          <t>class VarianceEngine:</t>
        </is>
      </c>
    </row>
    <row r="22" ht="14" customHeight="1">
      <c r="A22" s="53" t="inlineStr">
        <is>
          <t xml:space="preserve">    """</t>
        </is>
      </c>
    </row>
    <row r="23" ht="14" customHeight="1">
      <c r="A23" s="53" t="inlineStr">
        <is>
          <t xml:space="preserve">    Corporate Financial Variance Analysis Engine.</t>
        </is>
      </c>
    </row>
    <row r="24" ht="14" customHeight="1">
      <c r="A24" s="53" t="inlineStr">
        <is>
          <t xml:space="preserve">    Automates Budget vs Actual comparison, KPI tracking,</t>
        </is>
      </c>
    </row>
    <row r="25" ht="14" customHeight="1">
      <c r="A25" s="53" t="inlineStr">
        <is>
          <t xml:space="preserve">    regional breakdown, and monthly report generation.</t>
        </is>
      </c>
    </row>
    <row r="26" ht="14" customHeight="1">
      <c r="A26" s="53" t="inlineStr">
        <is>
          <t xml:space="preserve">    """</t>
        </is>
      </c>
    </row>
    <row r="27" ht="14" customHeight="1">
      <c r="A27" s="53" t="inlineStr"/>
    </row>
    <row r="28" ht="14" customHeight="1">
      <c r="A28" s="53" t="inlineStr">
        <is>
          <t xml:space="preserve">    VARIANCE_THRESHOLDS = {</t>
        </is>
      </c>
    </row>
    <row r="29" ht="14" customHeight="1">
      <c r="A29" s="53" t="inlineStr">
        <is>
          <t xml:space="preserve">        "favorable":    2.0,   # pct above budget = favorable</t>
        </is>
      </c>
    </row>
    <row r="30" ht="14" customHeight="1">
      <c r="A30" s="53" t="inlineStr">
        <is>
          <t xml:space="preserve">        "unfavorable": -2.0,   # pct below budget = unfavorable</t>
        </is>
      </c>
    </row>
    <row r="31" ht="14" customHeight="1">
      <c r="A31" s="53" t="inlineStr">
        <is>
          <t xml:space="preserve">        "critical":    -10.0,  # pct below = critical alert</t>
        </is>
      </c>
    </row>
    <row r="32" ht="14" customHeight="1">
      <c r="A32" s="53" t="inlineStr">
        <is>
          <t xml:space="preserve">    }</t>
        </is>
      </c>
    </row>
    <row r="33" ht="14" customHeight="1">
      <c r="A33" s="53" t="inlineStr"/>
    </row>
    <row r="34" ht="14" customHeight="1">
      <c r="A34" s="53" t="inlineStr">
        <is>
          <t xml:space="preserve">    def __init__(self, db_path="variance.db"):</t>
        </is>
      </c>
    </row>
    <row r="35" ht="14" customHeight="1">
      <c r="A35" s="53" t="inlineStr">
        <is>
          <t xml:space="preserve">        self.db_path  = db_path</t>
        </is>
      </c>
    </row>
    <row r="36" ht="14" customHeight="1">
      <c r="A36" s="53" t="inlineStr">
        <is>
          <t xml:space="preserve">        self.conn     = sqlite3.connect(db_path)</t>
        </is>
      </c>
    </row>
    <row r="37" ht="14" customHeight="1">
      <c r="A37" s="53" t="inlineStr">
        <is>
          <t xml:space="preserve">        self.run_date = datetime.today().strftime("%Y-%m-%d")</t>
        </is>
      </c>
    </row>
    <row r="38" ht="14" customHeight="1">
      <c r="A38" s="53" t="inlineStr">
        <is>
          <t xml:space="preserve">        self.results  = {}</t>
        </is>
      </c>
    </row>
    <row r="39" ht="14" customHeight="1">
      <c r="A39" s="53" t="inlineStr"/>
    </row>
    <row r="40" ht="14" customHeight="1">
      <c r="A40" s="54" t="inlineStr">
        <is>
          <t xml:space="preserve">    # ── Data Loading ──────────────────────────────────────────────────────────</t>
        </is>
      </c>
    </row>
    <row r="41" ht="14" customHeight="1">
      <c r="A41" s="53" t="inlineStr">
        <is>
          <t xml:space="preserve">    def load_data(self, filepath: str) -&gt; pd.DataFrame:</t>
        </is>
      </c>
    </row>
    <row r="42" ht="14" customHeight="1">
      <c r="A42" s="53" t="inlineStr">
        <is>
          <t xml:space="preserve">        ext = Path(filepath).suffix.lower()</t>
        </is>
      </c>
    </row>
    <row r="43" ht="14" customHeight="1">
      <c r="A43" s="53" t="inlineStr">
        <is>
          <t xml:space="preserve">        df  = pd.read_excel(filepath) if ext in (".xlsx",".xls") else pd.read_csv(filepath)</t>
        </is>
      </c>
    </row>
    <row r="44" ht="14" customHeight="1">
      <c r="A44" s="53" t="inlineStr">
        <is>
          <t xml:space="preserve">        df.columns = [c.strip().upper().replace(" ","_") for c in df.columns]</t>
        </is>
      </c>
    </row>
    <row r="45" ht="14" customHeight="1">
      <c r="A45" s="53" t="inlineStr">
        <is>
          <t xml:space="preserve">        logger.info(f"Loaded {filepath}: {len(df)} records")</t>
        </is>
      </c>
    </row>
    <row r="46" ht="14" customHeight="1">
      <c r="A46" s="53" t="inlineStr">
        <is>
          <t xml:space="preserve">        return df</t>
        </is>
      </c>
    </row>
    <row r="47" ht="14" customHeight="1">
      <c r="A47" s="53" t="inlineStr"/>
    </row>
    <row r="48" ht="14" customHeight="1">
      <c r="A48" s="54" t="inlineStr">
        <is>
          <t xml:space="preserve">    # ── Core Analysis ─────────────────────────────────────────────────────────</t>
        </is>
      </c>
    </row>
    <row r="49" ht="14" customHeight="1">
      <c r="A49" s="53" t="inlineStr">
        <is>
          <t xml:space="preserve">    def compute_variance(self, df: pd.DataFrame) -&gt; pd.DataFrame:</t>
        </is>
      </c>
    </row>
    <row r="50" ht="14" customHeight="1">
      <c r="A50" s="53" t="inlineStr">
        <is>
          <t xml:space="preserve">        """Compute budget vs actual variance with classification."""</t>
        </is>
      </c>
    </row>
    <row r="51" ht="14" customHeight="1">
      <c r="A51" s="53" t="inlineStr">
        <is>
          <t xml:space="preserve">        df = df.copy()</t>
        </is>
      </c>
    </row>
    <row r="52" ht="14" customHeight="1">
      <c r="A52" s="53" t="inlineStr">
        <is>
          <t xml:space="preserve">        df["REV_VARIANCE"]     = df["REVENUE_ACTUAL"] - df["REVENUE_BUDGET"]</t>
        </is>
      </c>
    </row>
    <row r="53" ht="14" customHeight="1">
      <c r="A53" s="53" t="inlineStr">
        <is>
          <t xml:space="preserve">        df["REV_VAR_PCT"]      = (df["REV_VARIANCE"] / df["REVENUE_BUDGET"] * 100).round(2)</t>
        </is>
      </c>
    </row>
    <row r="54" ht="14" customHeight="1">
      <c r="A54" s="53" t="inlineStr">
        <is>
          <t xml:space="preserve">        df["EXP_VARIANCE"]     = df["EXPENSE_ACTUAL"] - df["EXPENSE_BUDGET"]</t>
        </is>
      </c>
    </row>
    <row r="55" ht="14" customHeight="1">
      <c r="A55" s="53" t="inlineStr">
        <is>
          <t xml:space="preserve">        df["NI_ACTUAL"]        = df["REVENUE_ACTUAL"] - df["EXPENSE_ACTUAL"]</t>
        </is>
      </c>
    </row>
    <row r="56" ht="14" customHeight="1">
      <c r="A56" s="53" t="inlineStr">
        <is>
          <t xml:space="preserve">        df["NI_BUDGET"]        = df["REVENUE_BUDGET"] - df["EXPENSE_BUDGET"]</t>
        </is>
      </c>
    </row>
    <row r="57" ht="14" customHeight="1">
      <c r="A57" s="53" t="inlineStr">
        <is>
          <t xml:space="preserve">        df["NI_VARIANCE"]      = df["NI_ACTUAL"] - df["NI_BUDGET"]</t>
        </is>
      </c>
    </row>
    <row r="58" ht="14" customHeight="1">
      <c r="A58" s="53" t="inlineStr">
        <is>
          <t xml:space="preserve">        df["NET_MARGIN_PCT"]   = (df["NI_ACTUAL"] / df["REVENUE_ACTUAL"] * 100).round(2)</t>
        </is>
      </c>
    </row>
    <row r="59" ht="14" customHeight="1">
      <c r="A59" s="53" t="inlineStr">
        <is>
          <t xml:space="preserve">        df["VARIANCE_STATUS"]  = df["REV_VAR_PCT"].apply(self._classify_variance)</t>
        </is>
      </c>
    </row>
    <row r="60" ht="14" customHeight="1">
      <c r="A60" s="53" t="inlineStr">
        <is>
          <t xml:space="preserve">        df["RISK_FLAG"]        = df["REV_VAR_PCT"].apply(</t>
        </is>
      </c>
    </row>
    <row r="61" ht="14" customHeight="1">
      <c r="A61" s="53" t="inlineStr">
        <is>
          <t xml:space="preserve">            lambda x: "CRITICAL" if x &lt;= self.VARIANCE_THRESHOLDS["critical"]</t>
        </is>
      </c>
    </row>
    <row r="62" ht="14" customHeight="1">
      <c r="A62" s="53" t="inlineStr">
        <is>
          <t xml:space="preserve">                      else ("WATCH" if x &lt;= self.VARIANCE_THRESHOLDS["unfavorable"]</t>
        </is>
      </c>
    </row>
    <row r="63" ht="14" customHeight="1">
      <c r="A63" s="53" t="inlineStr">
        <is>
          <t xml:space="preserve">                            else "OK"))</t>
        </is>
      </c>
    </row>
    <row r="64" ht="14" customHeight="1">
      <c r="A64" s="53" t="inlineStr">
        <is>
          <t xml:space="preserve">        self.results["variance"] = df</t>
        </is>
      </c>
    </row>
    <row r="65" ht="14" customHeight="1">
      <c r="A65" s="53" t="inlineStr">
        <is>
          <t xml:space="preserve">        logger.info(f"Variance computed: {len(df)} records")</t>
        </is>
      </c>
    </row>
    <row r="66" ht="14" customHeight="1">
      <c r="A66" s="53" t="inlineStr">
        <is>
          <t xml:space="preserve">        return df</t>
        </is>
      </c>
    </row>
    <row r="67" ht="14" customHeight="1">
      <c r="A67" s="53" t="inlineStr"/>
    </row>
    <row r="68" ht="14" customHeight="1">
      <c r="A68" s="53" t="inlineStr">
        <is>
          <t xml:space="preserve">    def _classify_variance(self, pct: float) -&gt; str:</t>
        </is>
      </c>
    </row>
    <row r="69" ht="14" customHeight="1">
      <c r="A69" s="53" t="inlineStr">
        <is>
          <t xml:space="preserve">        if pct &gt;= self.VARIANCE_THRESHOLDS["favorable"]:   return "FAVORABLE"</t>
        </is>
      </c>
    </row>
    <row r="70" ht="14" customHeight="1">
      <c r="A70" s="53" t="inlineStr">
        <is>
          <t xml:space="preserve">        if pct &gt;= self.VARIANCE_THRESHOLDS["unfavorable"]: return "ON TARGET"</t>
        </is>
      </c>
    </row>
    <row r="71" ht="14" customHeight="1">
      <c r="A71" s="53" t="inlineStr">
        <is>
          <t xml:space="preserve">        if pct &gt;= self.VARIANCE_THRESHOLDS["critical"]:    return "UNFAVORABLE"</t>
        </is>
      </c>
    </row>
    <row r="72" ht="14" customHeight="1">
      <c r="A72" s="53" t="inlineStr">
        <is>
          <t xml:space="preserve">        return "CRITICAL"</t>
        </is>
      </c>
    </row>
    <row r="73" ht="14" customHeight="1">
      <c r="A73" s="53" t="inlineStr"/>
    </row>
    <row r="74" ht="14" customHeight="1">
      <c r="A74" s="53" t="inlineStr">
        <is>
          <t xml:space="preserve">    def regional_breakdown(self, df: pd.DataFrame) -&gt; pd.DataFrame:</t>
        </is>
      </c>
    </row>
    <row r="75" ht="14" customHeight="1">
      <c r="A75" s="53" t="inlineStr">
        <is>
          <t xml:space="preserve">        """Aggregate financial metrics by region."""</t>
        </is>
      </c>
    </row>
    <row r="76" ht="14" customHeight="1">
      <c r="A76" s="53" t="inlineStr">
        <is>
          <t xml:space="preserve">        grp = df.groupby("REGION").agg(</t>
        </is>
      </c>
    </row>
    <row r="77" ht="14" customHeight="1">
      <c r="A77" s="53" t="inlineStr">
        <is>
          <t xml:space="preserve">            Rev_Budget  =("REVENUE_BUDGET",  "sum"),</t>
        </is>
      </c>
    </row>
    <row r="78" ht="14" customHeight="1">
      <c r="A78" s="53" t="inlineStr">
        <is>
          <t xml:space="preserve">            Rev_Actual  =("REVENUE_ACTUAL",  "sum"),</t>
        </is>
      </c>
    </row>
    <row r="79" ht="14" customHeight="1">
      <c r="A79" s="53" t="inlineStr">
        <is>
          <t xml:space="preserve">            Exp_Budget  =("EXPENSE_BUDGET",  "sum"),</t>
        </is>
      </c>
    </row>
    <row r="80" ht="14" customHeight="1">
      <c r="A80" s="53" t="inlineStr">
        <is>
          <t xml:space="preserve">            Exp_Actual  =("EXPENSE_ACTUAL",  "sum"),</t>
        </is>
      </c>
    </row>
    <row r="81" ht="14" customHeight="1">
      <c r="A81" s="53" t="inlineStr">
        <is>
          <t xml:space="preserve">            NI_Actual   =("NI_ACTUAL",       "sum"),</t>
        </is>
      </c>
    </row>
    <row r="82" ht="14" customHeight="1">
      <c r="A82" s="53" t="inlineStr">
        <is>
          <t xml:space="preserve">        ).reset_index()</t>
        </is>
      </c>
    </row>
    <row r="83" ht="14" customHeight="1">
      <c r="A83" s="53" t="inlineStr">
        <is>
          <t xml:space="preserve">        grp["Rev_Variance"]  = grp["Rev_Actual"] - grp["Rev_Budget"]</t>
        </is>
      </c>
    </row>
    <row r="84" ht="14" customHeight="1">
      <c r="A84" s="53" t="inlineStr">
        <is>
          <t xml:space="preserve">        grp["Rev_Var_Pct"]   = (grp["Rev_Variance"] / grp["Rev_Budget"] * 100).round(2)</t>
        </is>
      </c>
    </row>
    <row r="85" ht="14" customHeight="1">
      <c r="A85" s="53" t="inlineStr">
        <is>
          <t xml:space="preserve">        grp["Net_Margin"]    = (grp["NI_Actual"] / grp["Rev_Actual"] * 100).round(2)</t>
        </is>
      </c>
    </row>
    <row r="86" ht="14" customHeight="1">
      <c r="A86" s="53" t="inlineStr">
        <is>
          <t xml:space="preserve">        grp["Rank"]          = grp["Rev_Actual"].rank(ascending=False).astype(int)</t>
        </is>
      </c>
    </row>
    <row r="87" ht="14" customHeight="1">
      <c r="A87" s="53" t="inlineStr">
        <is>
          <t xml:space="preserve">        self.results["regional"] = grp</t>
        </is>
      </c>
    </row>
    <row r="88" ht="14" customHeight="1">
      <c r="A88" s="53" t="inlineStr">
        <is>
          <t xml:space="preserve">        return grp</t>
        </is>
      </c>
    </row>
    <row r="89" ht="14" customHeight="1">
      <c r="A89" s="53" t="inlineStr"/>
    </row>
    <row r="90" ht="14" customHeight="1">
      <c r="A90" s="53" t="inlineStr">
        <is>
          <t xml:space="preserve">    def kpi_scorecard(self, kpi_df: pd.DataFrame) -&gt; pd.DataFrame:</t>
        </is>
      </c>
    </row>
    <row r="91" ht="14" customHeight="1">
      <c r="A91" s="53" t="inlineStr">
        <is>
          <t xml:space="preserve">        """Compute KPI performance scorecard."""</t>
        </is>
      </c>
    </row>
    <row r="92" ht="14" customHeight="1">
      <c r="A92" s="53" t="inlineStr">
        <is>
          <t xml:space="preserve">        kpi_df = kpi_df.copy()</t>
        </is>
      </c>
    </row>
    <row r="93" ht="14" customHeight="1">
      <c r="A93" s="53" t="inlineStr">
        <is>
          <t xml:space="preserve">        kpi_df["VARIANCE"]     = kpi_df["ACTUAL"] - kpi_df["TARGET"]</t>
        </is>
      </c>
    </row>
    <row r="94" ht="14" customHeight="1">
      <c r="A94" s="53" t="inlineStr">
        <is>
          <t xml:space="preserve">        kpi_df["VAR_PCT"]      = (kpi_df["VARIANCE"] / kpi_df["TARGET"] * 100).round(2)</t>
        </is>
      </c>
    </row>
    <row r="95" ht="14" customHeight="1">
      <c r="A95" s="53" t="inlineStr">
        <is>
          <t xml:space="preserve">        kpi_df["STATUS"]       = kpi_df["VAR_PCT"].apply(</t>
        </is>
      </c>
    </row>
    <row r="96" ht="14" customHeight="1">
      <c r="A96" s="53" t="inlineStr">
        <is>
          <t xml:space="preserve">            lambda x: "ABOVE" if x &gt; 5 else ("ON TARGET" if x &gt;= -5 else "BELOW"))</t>
        </is>
      </c>
    </row>
    <row r="97" ht="14" customHeight="1">
      <c r="A97" s="53" t="inlineStr">
        <is>
          <t xml:space="preserve">        kpi_df["TRAFFIC_LIGHT"]= kpi_df["STATUS"].map(</t>
        </is>
      </c>
    </row>
    <row r="98" ht="14" customHeight="1">
      <c r="A98" s="53" t="inlineStr">
        <is>
          <t xml:space="preserve">            {"ABOVE":"GREEN","ON TARGET":"AMBER","BELOW":"RED"})</t>
        </is>
      </c>
    </row>
    <row r="99" ht="14" customHeight="1">
      <c r="A99" s="53" t="inlineStr">
        <is>
          <t xml:space="preserve">        self.results["kpi"] = kpi_df</t>
        </is>
      </c>
    </row>
    <row r="100" ht="14" customHeight="1">
      <c r="A100" s="53" t="inlineStr">
        <is>
          <t xml:space="preserve">        return kpi_df</t>
        </is>
      </c>
    </row>
    <row r="101" ht="14" customHeight="1">
      <c r="A101" s="53" t="inlineStr"/>
    </row>
    <row r="102" ht="14" customHeight="1">
      <c r="A102" s="53" t="inlineStr">
        <is>
          <t xml:space="preserve">    def trend_analysis(self, df: pd.DataFrame) -&gt; pd.DataFrame:</t>
        </is>
      </c>
    </row>
    <row r="103" ht="14" customHeight="1">
      <c r="A103" s="53" t="inlineStr">
        <is>
          <t xml:space="preserve">        """Monthly trend with MoM and rolling averages."""</t>
        </is>
      </c>
    </row>
    <row r="104" ht="14" customHeight="1">
      <c r="A104" s="53" t="inlineStr">
        <is>
          <t xml:space="preserve">        trend = df.groupby(["MONTH","MONTH_NUM"]).agg(</t>
        </is>
      </c>
    </row>
    <row r="105" ht="14" customHeight="1">
      <c r="A105" s="53" t="inlineStr">
        <is>
          <t xml:space="preserve">            Rev_Budget=("REVENUE_BUDGET","sum"),</t>
        </is>
      </c>
    </row>
    <row r="106" ht="14" customHeight="1">
      <c r="A106" s="53" t="inlineStr">
        <is>
          <t xml:space="preserve">            Rev_Actual=("REVENUE_ACTUAL","sum"),</t>
        </is>
      </c>
    </row>
    <row r="107" ht="14" customHeight="1">
      <c r="A107" s="53" t="inlineStr">
        <is>
          <t xml:space="preserve">            Exp_Actual=("EXPENSE_ACTUAL","sum"),</t>
        </is>
      </c>
    </row>
    <row r="108" ht="14" customHeight="1">
      <c r="A108" s="53" t="inlineStr">
        <is>
          <t xml:space="preserve">        ).reset_index().sort_values("MONTH_NUM")</t>
        </is>
      </c>
    </row>
    <row r="109" ht="14" customHeight="1">
      <c r="A109" s="53" t="inlineStr">
        <is>
          <t xml:space="preserve">        trend["MoM_Growth"] = trend["Rev_Actual"].pct_change().round(4) * 100</t>
        </is>
      </c>
    </row>
    <row r="110" ht="14" customHeight="1">
      <c r="A110" s="53" t="inlineStr">
        <is>
          <t xml:space="preserve">        trend["Rolling_3M"] = trend["Rev_Actual"].rolling(3).mean().round(2)</t>
        </is>
      </c>
    </row>
    <row r="111" ht="14" customHeight="1">
      <c r="A111" s="53" t="inlineStr">
        <is>
          <t xml:space="preserve">        trend["NI_Actual"]  = trend["Rev_Actual"] - trend["Exp_Actual"]</t>
        </is>
      </c>
    </row>
    <row r="112" ht="14" customHeight="1">
      <c r="A112" s="53" t="inlineStr">
        <is>
          <t xml:space="preserve">        trend["NI_Margin"]  = (trend["NI_Actual"] / trend["Rev_Actual"] * 100).round(2)</t>
        </is>
      </c>
    </row>
    <row r="113" ht="14" customHeight="1">
      <c r="A113" s="53" t="inlineStr">
        <is>
          <t xml:space="preserve">        self.results["trend"] = trend</t>
        </is>
      </c>
    </row>
    <row r="114" ht="14" customHeight="1">
      <c r="A114" s="53" t="inlineStr">
        <is>
          <t xml:space="preserve">        return trend</t>
        </is>
      </c>
    </row>
    <row r="115" ht="14" customHeight="1">
      <c r="A115" s="53" t="inlineStr"/>
    </row>
    <row r="116" ht="14" customHeight="1">
      <c r="A116" s="53" t="inlineStr">
        <is>
          <t xml:space="preserve">    def summary_stats(self) -&gt; dict:</t>
        </is>
      </c>
    </row>
    <row r="117" ht="14" customHeight="1">
      <c r="A117" s="53" t="inlineStr">
        <is>
          <t xml:space="preserve">        """Generate executive summary statistics."""</t>
        </is>
      </c>
    </row>
    <row r="118" ht="14" customHeight="1">
      <c r="A118" s="53" t="inlineStr">
        <is>
          <t xml:space="preserve">        df = self.results.get("variance", pd.DataFrame())</t>
        </is>
      </c>
    </row>
    <row r="119" ht="14" customHeight="1">
      <c r="A119" s="53" t="inlineStr">
        <is>
          <t xml:space="preserve">        if df.empty: return {}</t>
        </is>
      </c>
    </row>
    <row r="120" ht="14" customHeight="1">
      <c r="A120" s="53" t="inlineStr">
        <is>
          <t xml:space="preserve">        stats = {</t>
        </is>
      </c>
    </row>
    <row r="121" ht="14" customHeight="1">
      <c r="A121" s="53" t="inlineStr">
        <is>
          <t xml:space="preserve">            "run_date":          self.run_date,</t>
        </is>
      </c>
    </row>
    <row r="122" ht="14" customHeight="1">
      <c r="A122" s="53" t="inlineStr">
        <is>
          <t xml:space="preserve">            "total_revenue_actual": round(df["REVENUE_ACTUAL"].sum(), 2),</t>
        </is>
      </c>
    </row>
    <row r="123" ht="14" customHeight="1">
      <c r="A123" s="53" t="inlineStr">
        <is>
          <t xml:space="preserve">            "total_revenue_budget": round(df["REVENUE_BUDGET"].sum(), 2),</t>
        </is>
      </c>
    </row>
    <row r="124" ht="14" customHeight="1">
      <c r="A124" s="53" t="inlineStr">
        <is>
          <t xml:space="preserve">            "revenue_variance":     round(df["REV_VARIANCE"].sum(), 2),</t>
        </is>
      </c>
    </row>
    <row r="125" ht="14" customHeight="1">
      <c r="A125" s="53" t="inlineStr">
        <is>
          <t xml:space="preserve">            "revenue_var_pct":      round(df["REV_VAR_PCT"].mean(), 2),</t>
        </is>
      </c>
    </row>
    <row r="126" ht="14" customHeight="1">
      <c r="A126" s="53" t="inlineStr">
        <is>
          <t xml:space="preserve">            "total_ni_actual":      round(df["NI_ACTUAL"].sum(), 2),</t>
        </is>
      </c>
    </row>
    <row r="127" ht="14" customHeight="1">
      <c r="A127" s="53" t="inlineStr">
        <is>
          <t xml:space="preserve">            "avg_net_margin":       round(df["NET_MARGIN_PCT"].mean(), 2),</t>
        </is>
      </c>
    </row>
    <row r="128" ht="14" customHeight="1">
      <c r="A128" s="53" t="inlineStr">
        <is>
          <t xml:space="preserve">            "critical_items":       int((df["RISK_FLAG"]=="CRITICAL").sum()),</t>
        </is>
      </c>
    </row>
    <row r="129" ht="14" customHeight="1">
      <c r="A129" s="53" t="inlineStr">
        <is>
          <t xml:space="preserve">            "watch_items":          int((df["RISK_FLAG"]=="WATCH").sum()),</t>
        </is>
      </c>
    </row>
    <row r="130" ht="14" customHeight="1">
      <c r="A130" s="53" t="inlineStr">
        <is>
          <t xml:space="preserve">            "favorable_regions":    int((df["VARIANCE_STATUS"]=="FAVORABLE").sum()),</t>
        </is>
      </c>
    </row>
    <row r="131" ht="14" customHeight="1">
      <c r="A131" s="53" t="inlineStr">
        <is>
          <t xml:space="preserve">            "status_breakdown":     df["VARIANCE_STATUS"].value_counts().to_dict(),</t>
        </is>
      </c>
    </row>
    <row r="132" ht="14" customHeight="1">
      <c r="A132" s="53" t="inlineStr">
        <is>
          <t xml:space="preserve">        }</t>
        </is>
      </c>
    </row>
    <row r="133" ht="14" customHeight="1">
      <c r="A133" s="53" t="inlineStr">
        <is>
          <t xml:space="preserve">        return stats</t>
        </is>
      </c>
    </row>
    <row r="134" ht="14" customHeight="1">
      <c r="A134" s="53" t="inlineStr"/>
    </row>
    <row r="135" ht="14" customHeight="1">
      <c r="A135" s="54" t="inlineStr">
        <is>
          <t xml:space="preserve">    # ── Export ────────────────────────────────────────────────────────────────</t>
        </is>
      </c>
    </row>
    <row r="136" ht="14" customHeight="1">
      <c r="A136" s="53" t="inlineStr">
        <is>
          <t xml:space="preserve">    def export_all(self, output_dir="reports/"):</t>
        </is>
      </c>
    </row>
    <row r="137" ht="14" customHeight="1">
      <c r="A137" s="53" t="inlineStr">
        <is>
          <t xml:space="preserve">        out = Path(output_dir)</t>
        </is>
      </c>
    </row>
    <row r="138" ht="14" customHeight="1">
      <c r="A138" s="53" t="inlineStr">
        <is>
          <t xml:space="preserve">        out.mkdir(parents=True, exist_ok=True)</t>
        </is>
      </c>
    </row>
    <row r="139" ht="14" customHeight="1">
      <c r="A139" s="53" t="inlineStr">
        <is>
          <t xml:space="preserve">        d   = self.run_date</t>
        </is>
      </c>
    </row>
    <row r="140" ht="14" customHeight="1">
      <c r="A140" s="53" t="inlineStr"/>
    </row>
    <row r="141" ht="14" customHeight="1">
      <c r="A141" s="53" t="inlineStr">
        <is>
          <t xml:space="preserve">        for name, df in self.results.items():</t>
        </is>
      </c>
    </row>
    <row r="142" ht="14" customHeight="1">
      <c r="A142" s="53" t="inlineStr">
        <is>
          <t xml:space="preserve">            df.to_csv(out / f"{name}_{d}.csv", index=False)</t>
        </is>
      </c>
    </row>
    <row r="143" ht="14" customHeight="1">
      <c r="A143" s="53" t="inlineStr"/>
    </row>
    <row r="144" ht="14" customHeight="1">
      <c r="A144" s="53" t="inlineStr">
        <is>
          <t xml:space="preserve">        with pd.ExcelWriter(out / f"variance_report_{d}.xlsx",</t>
        </is>
      </c>
    </row>
    <row r="145" ht="14" customHeight="1">
      <c r="A145" s="53" t="inlineStr">
        <is>
          <t xml:space="preserve">                            engine="openpyxl") as writer:</t>
        </is>
      </c>
    </row>
    <row r="146" ht="14" customHeight="1">
      <c r="A146" s="53" t="inlineStr">
        <is>
          <t xml:space="preserve">            for name, df in self.results.items():</t>
        </is>
      </c>
    </row>
    <row r="147" ht="14" customHeight="1">
      <c r="A147" s="53" t="inlineStr">
        <is>
          <t xml:space="preserve">                df.to_excel(writer, sheet_name=name[:31], index=False)</t>
        </is>
      </c>
    </row>
    <row r="148" ht="14" customHeight="1">
      <c r="A148" s="53" t="inlineStr"/>
    </row>
    <row r="149" ht="14" customHeight="1">
      <c r="A149" s="53" t="inlineStr">
        <is>
          <t xml:space="preserve">        with open(out / f"summary_{d}.json", "w") as f:</t>
        </is>
      </c>
    </row>
    <row r="150" ht="14" customHeight="1">
      <c r="A150" s="53" t="inlineStr">
        <is>
          <t xml:space="preserve">            json.dump(self.summary_stats(), f, indent=2)</t>
        </is>
      </c>
    </row>
    <row r="151" ht="14" customHeight="1">
      <c r="A151" s="53" t="inlineStr"/>
    </row>
    <row r="152" ht="14" customHeight="1">
      <c r="A152" s="53" t="inlineStr">
        <is>
          <t xml:space="preserve">        logger.info(f"All reports exported to {out.resolve()}")</t>
        </is>
      </c>
    </row>
    <row r="153" ht="14" customHeight="1">
      <c r="A153" s="53" t="inlineStr"/>
    </row>
    <row r="154" ht="14" customHeight="1">
      <c r="A154" s="53" t="inlineStr">
        <is>
          <t xml:space="preserve">    def save_to_db(self):</t>
        </is>
      </c>
    </row>
    <row r="155" ht="14" customHeight="1">
      <c r="A155" s="53" t="inlineStr">
        <is>
          <t xml:space="preserve">        for name, df in self.results.items():</t>
        </is>
      </c>
    </row>
    <row r="156" ht="14" customHeight="1">
      <c r="A156" s="53" t="inlineStr">
        <is>
          <t xml:space="preserve">            df.to_sql(name, self.conn, if_exists="replace", index=False)</t>
        </is>
      </c>
    </row>
    <row r="157" ht="14" customHeight="1">
      <c r="A157" s="53" t="inlineStr">
        <is>
          <t xml:space="preserve">        logger.info(f"Results saved to {self.db_path}")</t>
        </is>
      </c>
    </row>
    <row r="158" ht="14" customHeight="1">
      <c r="A158" s="53" t="inlineStr"/>
    </row>
    <row r="159" ht="14" customHeight="1">
      <c r="A159" s="53" t="inlineStr"/>
    </row>
    <row r="160" ht="14" customHeight="1">
      <c r="A160" s="54" t="inlineStr">
        <is>
          <t># ── Monthly Automated Run ──────────────────────────────────────────────────</t>
        </is>
      </c>
    </row>
    <row r="161" ht="14" customHeight="1">
      <c r="A161" s="53" t="inlineStr">
        <is>
          <t>def monthly_run(financial_file, kpi_file, output_dir="reports/"):</t>
        </is>
      </c>
    </row>
    <row r="162" ht="14" customHeight="1">
      <c r="A162" s="53" t="inlineStr">
        <is>
          <t xml:space="preserve">    engine = VarianceEngine()</t>
        </is>
      </c>
    </row>
    <row r="163" ht="14" customHeight="1">
      <c r="A163" s="53" t="inlineStr">
        <is>
          <t xml:space="preserve">    fin_df = engine.load_data(financial_file)</t>
        </is>
      </c>
    </row>
    <row r="164" ht="14" customHeight="1">
      <c r="A164" s="53" t="inlineStr">
        <is>
          <t xml:space="preserve">    kpi_df = engine.load_data(kpi_file)</t>
        </is>
      </c>
    </row>
    <row r="165" ht="14" customHeight="1">
      <c r="A165" s="53" t="inlineStr"/>
    </row>
    <row r="166" ht="14" customHeight="1">
      <c r="A166" s="53" t="inlineStr">
        <is>
          <t xml:space="preserve">    engine.compute_variance(fin_df)</t>
        </is>
      </c>
    </row>
    <row r="167" ht="14" customHeight="1">
      <c r="A167" s="53" t="inlineStr">
        <is>
          <t xml:space="preserve">    engine.regional_breakdown(engine.results["variance"])</t>
        </is>
      </c>
    </row>
    <row r="168" ht="14" customHeight="1">
      <c r="A168" s="53" t="inlineStr">
        <is>
          <t xml:space="preserve">    engine.trend_analysis(engine.results["variance"])</t>
        </is>
      </c>
    </row>
    <row r="169" ht="14" customHeight="1">
      <c r="A169" s="53" t="inlineStr">
        <is>
          <t xml:space="preserve">    engine.kpi_scorecard(kpi_df)</t>
        </is>
      </c>
    </row>
    <row r="170" ht="14" customHeight="1">
      <c r="A170" s="53" t="inlineStr"/>
    </row>
    <row r="171" ht="14" customHeight="1">
      <c r="A171" s="53" t="inlineStr">
        <is>
          <t xml:space="preserve">    engine.save_to_db()</t>
        </is>
      </c>
    </row>
    <row r="172" ht="14" customHeight="1">
      <c r="A172" s="53" t="inlineStr">
        <is>
          <t xml:space="preserve">    engine.export_all(output_dir)</t>
        </is>
      </c>
    </row>
    <row r="173" ht="14" customHeight="1">
      <c r="A173" s="53" t="inlineStr"/>
    </row>
    <row r="174" ht="14" customHeight="1">
      <c r="A174" s="53" t="inlineStr">
        <is>
          <t xml:space="preserve">    stats = engine.summary_stats()</t>
        </is>
      </c>
    </row>
    <row r="175" ht="14" customHeight="1">
      <c r="A175" s="53" t="inlineStr">
        <is>
          <t xml:space="preserve">    logger.info(f"Monthly run complete: {json.dumps(stats, indent=2)}")</t>
        </is>
      </c>
    </row>
    <row r="176" ht="14" customHeight="1">
      <c r="A176" s="53" t="inlineStr">
        <is>
          <t xml:space="preserve">    return stats</t>
        </is>
      </c>
    </row>
    <row r="177" ht="14" customHeight="1">
      <c r="A177" s="53" t="inlineStr"/>
    </row>
    <row r="178" ht="14" customHeight="1">
      <c r="A178" s="53" t="inlineStr"/>
    </row>
    <row r="179" ht="14" customHeight="1">
      <c r="A179" s="53" t="inlineStr">
        <is>
          <t>if __name__ == "__main__":</t>
        </is>
      </c>
    </row>
    <row r="180" ht="14" customHeight="1">
      <c r="A180" s="53" t="inlineStr">
        <is>
          <t xml:space="preserve">    print("VarianceEngine ready. Call monthly_run() with your data files.")</t>
        </is>
      </c>
    </row>
    <row r="181" ht="14" customHeight="1">
      <c r="A181" s="5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04040"/>
    <outlinePr summaryBelow="1" summaryRight="1"/>
    <pageSetUpPr/>
  </sheetPr>
  <dimension ref="A1:J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24" customWidth="1" min="4" max="4"/>
    <col width="16" customWidth="1" min="5" max="5"/>
  </cols>
  <sheetData>
    <row r="1">
      <c r="A1" s="55" t="inlineStr">
        <is>
          <t>PROJECT ARCHITECTURE &amp; DOCUMENTATION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3">
      <c r="A3" s="56" t="inlineStr">
        <is>
          <t>SYSTEM ARCHITECTURE</t>
        </is>
      </c>
      <c r="B3" s="22" t="n"/>
      <c r="C3" s="22" t="n"/>
      <c r="D3" s="23" t="n"/>
    </row>
    <row r="4">
      <c r="A4" s="24" t="inlineStr">
        <is>
          <t>Layer</t>
        </is>
      </c>
      <c r="B4" s="24" t="inlineStr">
        <is>
          <t>Component</t>
        </is>
      </c>
      <c r="C4" s="24" t="inlineStr">
        <is>
          <t>Technology</t>
        </is>
      </c>
      <c r="D4" s="24" t="inlineStr">
        <is>
          <t>Purpose</t>
        </is>
      </c>
    </row>
    <row r="5" ht="22" customHeight="1">
      <c r="A5" s="57" t="inlineStr">
        <is>
          <t>Data Sources</t>
        </is>
      </c>
      <c r="B5" s="57" t="inlineStr">
        <is>
          <t>ERP / GL System</t>
        </is>
      </c>
      <c r="C5" s="57" t="inlineStr">
        <is>
          <t>SAP / Oracle</t>
        </is>
      </c>
      <c r="D5" s="57" t="inlineStr">
        <is>
          <t>General ledger &amp; trial balance</t>
        </is>
      </c>
    </row>
    <row r="6" ht="22" customHeight="1">
      <c r="A6" s="58" t="inlineStr">
        <is>
          <t>Data Sources</t>
        </is>
      </c>
      <c r="B6" s="58" t="inlineStr">
        <is>
          <t>Budget System</t>
        </is>
      </c>
      <c r="C6" s="58" t="inlineStr">
        <is>
          <t>Adaptive Insights</t>
        </is>
      </c>
      <c r="D6" s="58" t="inlineStr">
        <is>
          <t>Budget &amp; forecast data</t>
        </is>
      </c>
    </row>
    <row r="7" ht="22" customHeight="1">
      <c r="A7" s="57" t="inlineStr">
        <is>
          <t>Ingestion</t>
        </is>
      </c>
      <c r="B7" s="57" t="inlineStr">
        <is>
          <t>ETL Pipeline</t>
        </is>
      </c>
      <c r="C7" s="57" t="inlineStr">
        <is>
          <t>Python/Pandas</t>
        </is>
      </c>
      <c r="D7" s="57" t="inlineStr">
        <is>
          <t>Extract, transform, load</t>
        </is>
      </c>
    </row>
    <row r="8" ht="22" customHeight="1">
      <c r="A8" s="58" t="inlineStr">
        <is>
          <t>Storage</t>
        </is>
      </c>
      <c r="B8" s="58" t="inlineStr">
        <is>
          <t>Data Warehouse</t>
        </is>
      </c>
      <c r="C8" s="58" t="inlineStr">
        <is>
          <t>PostgreSQL</t>
        </is>
      </c>
      <c r="D8" s="58" t="inlineStr">
        <is>
          <t>Star schema fact/dim tables</t>
        </is>
      </c>
    </row>
    <row r="9" ht="22" customHeight="1">
      <c r="A9" s="57" t="inlineStr">
        <is>
          <t>Analytics</t>
        </is>
      </c>
      <c r="B9" s="57" t="inlineStr">
        <is>
          <t>Query Engine</t>
        </is>
      </c>
      <c r="C9" s="57" t="inlineStr">
        <is>
          <t>SQL CTEs + Windows</t>
        </is>
      </c>
      <c r="D9" s="57" t="inlineStr">
        <is>
          <t>Variance &amp; trend analysis</t>
        </is>
      </c>
    </row>
    <row r="10" ht="22" customHeight="1">
      <c r="A10" s="58" t="inlineStr">
        <is>
          <t>Reporting</t>
        </is>
      </c>
      <c r="B10" s="58" t="inlineStr">
        <is>
          <t>Excel Workbook</t>
        </is>
      </c>
      <c r="C10" s="58" t="inlineStr">
        <is>
          <t>Advanced Excel</t>
        </is>
      </c>
      <c r="D10" s="58" t="inlineStr">
        <is>
          <t>Pivot, slicers, formulas</t>
        </is>
      </c>
    </row>
    <row r="11" ht="22" customHeight="1">
      <c r="A11" s="57" t="inlineStr">
        <is>
          <t>Visualization</t>
        </is>
      </c>
      <c r="B11" s="57" t="inlineStr">
        <is>
          <t>BI Dashboard</t>
        </is>
      </c>
      <c r="C11" s="57" t="inlineStr">
        <is>
          <t>Power BI / HTML</t>
        </is>
      </c>
      <c r="D11" s="57" t="inlineStr">
        <is>
          <t>Live interactive dashboard</t>
        </is>
      </c>
    </row>
    <row r="12" ht="22" customHeight="1">
      <c r="A12" s="58" t="inlineStr">
        <is>
          <t>Automation</t>
        </is>
      </c>
      <c r="B12" s="58" t="inlineStr">
        <is>
          <t>Scheduler</t>
        </is>
      </c>
      <c r="C12" s="58" t="inlineStr">
        <is>
          <t>Airflow / Cron</t>
        </is>
      </c>
      <c r="D12" s="58" t="inlineStr">
        <is>
          <t>Monthly automated reports</t>
        </is>
      </c>
    </row>
    <row r="13" ht="22" customHeight="1">
      <c r="A13" s="57" t="inlineStr">
        <is>
          <t>Alerts</t>
        </is>
      </c>
      <c r="B13" s="57" t="inlineStr">
        <is>
          <t>Notification</t>
        </is>
      </c>
      <c r="C13" s="57" t="inlineStr">
        <is>
          <t>Email / Slack</t>
        </is>
      </c>
      <c r="D13" s="57" t="inlineStr">
        <is>
          <t>Critical variance alerts</t>
        </is>
      </c>
    </row>
    <row r="16">
      <c r="A16" s="59" t="inlineStr">
        <is>
          <t>KPI DEFINITIONS</t>
        </is>
      </c>
      <c r="B16" s="22" t="n"/>
      <c r="C16" s="22" t="n"/>
      <c r="D16" s="22" t="n"/>
      <c r="E16" s="23" t="n"/>
    </row>
    <row r="17">
      <c r="A17" s="24" t="inlineStr">
        <is>
          <t>KPI</t>
        </is>
      </c>
      <c r="B17" s="24" t="inlineStr">
        <is>
          <t>Formula</t>
        </is>
      </c>
      <c r="C17" s="24" t="inlineStr">
        <is>
          <t>Target</t>
        </is>
      </c>
      <c r="D17" s="24" t="inlineStr">
        <is>
          <t>Frequency</t>
        </is>
      </c>
      <c r="E17" s="24" t="inlineStr">
        <is>
          <t>Owner</t>
        </is>
      </c>
    </row>
    <row r="18" ht="22" customHeight="1">
      <c r="A18" s="57" t="inlineStr">
        <is>
          <t>AUM Growth %</t>
        </is>
      </c>
      <c r="B18" s="57" t="inlineStr">
        <is>
          <t>(AUM_curr - AUM_prev)/AUM_prev*100</t>
        </is>
      </c>
      <c r="C18" s="57" t="inlineStr">
        <is>
          <t>12%</t>
        </is>
      </c>
      <c r="D18" s="57" t="inlineStr">
        <is>
          <t>Monthly</t>
        </is>
      </c>
      <c r="E18" s="57" t="inlineStr">
        <is>
          <t>Portfolio Mgmt</t>
        </is>
      </c>
    </row>
    <row r="19" ht="22" customHeight="1">
      <c r="A19" s="58" t="inlineStr">
        <is>
          <t>Revenue Yield bps</t>
        </is>
      </c>
      <c r="B19" s="58" t="inlineStr">
        <is>
          <t>Revenue/AUM*10000</t>
        </is>
      </c>
      <c r="C19" s="58" t="inlineStr">
        <is>
          <t>85 bps</t>
        </is>
      </c>
      <c r="D19" s="58" t="inlineStr">
        <is>
          <t>Monthly</t>
        </is>
      </c>
      <c r="E19" s="58" t="inlineStr">
        <is>
          <t>Finance</t>
        </is>
      </c>
    </row>
    <row r="20" ht="22" customHeight="1">
      <c r="A20" s="57" t="inlineStr">
        <is>
          <t>Cost-to-Income Ratio</t>
        </is>
      </c>
      <c r="B20" s="57" t="inlineStr">
        <is>
          <t>Total Expenses/Total Revenue*100</t>
        </is>
      </c>
      <c r="C20" s="57" t="inlineStr">
        <is>
          <t>&lt;55%</t>
        </is>
      </c>
      <c r="D20" s="57" t="inlineStr">
        <is>
          <t>Monthly</t>
        </is>
      </c>
      <c r="E20" s="57" t="inlineStr">
        <is>
          <t>CFO</t>
        </is>
      </c>
    </row>
    <row r="21" ht="22" customHeight="1">
      <c r="A21" s="58" t="inlineStr">
        <is>
          <t>Client Retention %</t>
        </is>
      </c>
      <c r="B21" s="58" t="inlineStr">
        <is>
          <t>Retained Clients/Total Clients*100</t>
        </is>
      </c>
      <c r="C21" s="58" t="inlineStr">
        <is>
          <t>&gt;95%</t>
        </is>
      </c>
      <c r="D21" s="58" t="inlineStr">
        <is>
          <t>Quarterly</t>
        </is>
      </c>
      <c r="E21" s="58" t="inlineStr">
        <is>
          <t>Sales</t>
        </is>
      </c>
    </row>
    <row r="22" ht="22" customHeight="1">
      <c r="A22" s="57" t="inlineStr">
        <is>
          <t>Portfolio Alpha %</t>
        </is>
      </c>
      <c r="B22" s="57" t="inlineStr">
        <is>
          <t>Portfolio Return - Benchmark Return</t>
        </is>
      </c>
      <c r="C22" s="57" t="inlineStr">
        <is>
          <t>&gt;2.5%</t>
        </is>
      </c>
      <c r="D22" s="57" t="inlineStr">
        <is>
          <t>Monthly</t>
        </is>
      </c>
      <c r="E22" s="57" t="inlineStr">
        <is>
          <t>Portfolio Mgmt</t>
        </is>
      </c>
    </row>
    <row r="23" ht="22" customHeight="1">
      <c r="A23" s="58" t="inlineStr">
        <is>
          <t>Sharpe Ratio</t>
        </is>
      </c>
      <c r="B23" s="58" t="inlineStr">
        <is>
          <t>(Return - RFR)/StdDev</t>
        </is>
      </c>
      <c r="C23" s="58" t="inlineStr">
        <is>
          <t>&gt;1.4</t>
        </is>
      </c>
      <c r="D23" s="58" t="inlineStr">
        <is>
          <t>Monthly</t>
        </is>
      </c>
      <c r="E23" s="58" t="inlineStr">
        <is>
          <t>Risk</t>
        </is>
      </c>
    </row>
    <row r="24" ht="22" customHeight="1">
      <c r="A24" s="57" t="inlineStr">
        <is>
          <t>Expense Ratio %</t>
        </is>
      </c>
      <c r="B24" s="57" t="inlineStr">
        <is>
          <t>Total Expenses/AUM*100</t>
        </is>
      </c>
      <c r="C24" s="57" t="inlineStr">
        <is>
          <t>&lt;0.65%</t>
        </is>
      </c>
      <c r="D24" s="57" t="inlineStr">
        <is>
          <t>Monthly</t>
        </is>
      </c>
      <c r="E24" s="57" t="inlineStr">
        <is>
          <t>Finance</t>
        </is>
      </c>
    </row>
    <row r="25" ht="22" customHeight="1">
      <c r="A25" s="58" t="inlineStr">
        <is>
          <t>Net Margin %</t>
        </is>
      </c>
      <c r="B25" s="58" t="inlineStr">
        <is>
          <t>Net Income/Revenue*100</t>
        </is>
      </c>
      <c r="C25" s="58" t="inlineStr">
        <is>
          <t>&gt;28%</t>
        </is>
      </c>
      <c r="D25" s="58" t="inlineStr">
        <is>
          <t>Monthly</t>
        </is>
      </c>
      <c r="E25" s="58" t="inlineStr">
        <is>
          <t>CFO</t>
        </is>
      </c>
    </row>
    <row r="28">
      <c r="A28" s="60" t="inlineStr">
        <is>
          <t>VARIANCE CLASSIFICATION</t>
        </is>
      </c>
      <c r="B28" s="22" t="n"/>
      <c r="C28" s="22" t="n"/>
      <c r="D28" s="22" t="n"/>
      <c r="E28" s="23" t="n"/>
    </row>
    <row r="29">
      <c r="A29" s="24" t="inlineStr">
        <is>
          <t>Status</t>
        </is>
      </c>
      <c r="B29" s="24" t="inlineStr">
        <is>
          <t>Threshold</t>
        </is>
      </c>
      <c r="C29" s="24" t="inlineStr">
        <is>
          <t>Action</t>
        </is>
      </c>
      <c r="D29" s="24" t="inlineStr">
        <is>
          <t>SLA</t>
        </is>
      </c>
      <c r="E29" s="24" t="inlineStr">
        <is>
          <t>Escalation</t>
        </is>
      </c>
    </row>
    <row r="30" ht="22" customHeight="1">
      <c r="A30" s="57" t="inlineStr">
        <is>
          <t>FAVORABLE</t>
        </is>
      </c>
      <c r="B30" s="57" t="inlineStr">
        <is>
          <t>&gt; +2% vs budget</t>
        </is>
      </c>
      <c r="C30" s="57" t="inlineStr">
        <is>
          <t>Document &amp; sustain</t>
        </is>
      </c>
      <c r="D30" s="57" t="inlineStr">
        <is>
          <t>5 days</t>
        </is>
      </c>
      <c r="E30" s="57" t="inlineStr">
        <is>
          <t>Report to CIO</t>
        </is>
      </c>
    </row>
    <row r="31" ht="22" customHeight="1">
      <c r="A31" s="58" t="inlineStr">
        <is>
          <t>ON TARGET</t>
        </is>
      </c>
      <c r="B31" s="58" t="inlineStr">
        <is>
          <t>-2% to +2%</t>
        </is>
      </c>
      <c r="C31" s="58" t="inlineStr">
        <is>
          <t>Monitor</t>
        </is>
      </c>
      <c r="D31" s="58" t="inlineStr">
        <is>
          <t>N/A</t>
        </is>
      </c>
      <c r="E31" s="58" t="inlineStr">
        <is>
          <t>Monthly review</t>
        </is>
      </c>
    </row>
    <row r="32" ht="22" customHeight="1">
      <c r="A32" s="57" t="inlineStr">
        <is>
          <t>UNFAVORABLE</t>
        </is>
      </c>
      <c r="B32" s="57" t="inlineStr">
        <is>
          <t>-2% to -10%</t>
        </is>
      </c>
      <c r="C32" s="57" t="inlineStr">
        <is>
          <t>Root cause analysis</t>
        </is>
      </c>
      <c r="D32" s="57" t="inlineStr">
        <is>
          <t>48 hrs</t>
        </is>
      </c>
      <c r="E32" s="57" t="inlineStr">
        <is>
          <t>CFO alert</t>
        </is>
      </c>
    </row>
    <row r="33" ht="22" customHeight="1">
      <c r="A33" s="58" t="inlineStr">
        <is>
          <t>CRITICAL</t>
        </is>
      </c>
      <c r="B33" s="58" t="inlineStr">
        <is>
          <t>&lt; -10% vs budget</t>
        </is>
      </c>
      <c r="C33" s="58" t="inlineStr">
        <is>
          <t>Emergency review</t>
        </is>
      </c>
      <c r="D33" s="58" t="inlineStr">
        <is>
          <t>24 hrs</t>
        </is>
      </c>
      <c r="E33" s="58" t="inlineStr">
        <is>
          <t>Board escalation</t>
        </is>
      </c>
    </row>
    <row r="36">
      <c r="A36" s="61" t="inlineStr">
        <is>
          <t>EXCEL FORMULAS REFERENCE</t>
        </is>
      </c>
      <c r="B36" s="22" t="n"/>
      <c r="C36" s="23" t="n"/>
    </row>
    <row r="37">
      <c r="A37" s="24" t="inlineStr">
        <is>
          <t>Formula</t>
        </is>
      </c>
      <c r="B37" s="24" t="inlineStr">
        <is>
          <t>Usage</t>
        </is>
      </c>
      <c r="C37" s="24" t="inlineStr">
        <is>
          <t>Example</t>
        </is>
      </c>
    </row>
    <row r="38" ht="22" customHeight="1">
      <c r="A38" s="57" t="inlineStr">
        <is>
          <t>XLOOKUP</t>
        </is>
      </c>
      <c r="B38" s="57" t="inlineStr">
        <is>
          <t>Dynamic budget lookup</t>
        </is>
      </c>
      <c r="C38" s="57">
        <f>XLOOKUP(A2,Budget!A:A,Budget!C:C,0)</f>
        <v/>
      </c>
    </row>
    <row r="39" ht="22" customHeight="1">
      <c r="A39" s="58" t="inlineStr">
        <is>
          <t>SUMIFS</t>
        </is>
      </c>
      <c r="B39" s="58" t="inlineStr">
        <is>
          <t>Multi-criteria aggregation</t>
        </is>
      </c>
      <c r="C39" s="58">
        <f>SUMIFS(Rev_Actual,Region,A2,Month,B2)</f>
        <v/>
      </c>
    </row>
    <row r="40" ht="22" customHeight="1">
      <c r="A40" s="57" t="inlineStr">
        <is>
          <t>IFERROR+DIVIDE</t>
        </is>
      </c>
      <c r="B40" s="57" t="inlineStr">
        <is>
          <t>Safe variance %</t>
        </is>
      </c>
      <c r="C40" s="57">
        <f>IFERROR((Actual-Budget)/Budget,0)</f>
        <v/>
      </c>
    </row>
    <row r="41" ht="22" customHeight="1">
      <c r="A41" s="58" t="inlineStr">
        <is>
          <t>OFFSET+MATCH</t>
        </is>
      </c>
      <c r="B41" s="58" t="inlineStr">
        <is>
          <t>Dynamic range for charts</t>
        </is>
      </c>
      <c r="C41" s="58">
        <f>OFFSET(Data!A1,MATCH(Month,Months,0)-1,0,1,12)</f>
        <v/>
      </c>
    </row>
    <row r="42" ht="22" customHeight="1">
      <c r="A42" s="57" t="inlineStr">
        <is>
          <t>Pivot Table</t>
        </is>
      </c>
      <c r="B42" s="57" t="inlineStr">
        <is>
          <t>Regional/segment drill-down</t>
        </is>
      </c>
      <c r="C42" s="57" t="inlineStr">
        <is>
          <t>Insert &gt; PivotTable &gt; Slicers</t>
        </is>
      </c>
    </row>
    <row r="43" ht="22" customHeight="1">
      <c r="A43" s="58" t="inlineStr">
        <is>
          <t>Conditional Format</t>
        </is>
      </c>
      <c r="B43" s="58" t="inlineStr">
        <is>
          <t>Traffic light KPIs</t>
        </is>
      </c>
      <c r="C43" s="58" t="inlineStr">
        <is>
          <t>Home &gt; Conditional Formatting &gt; Color Scale</t>
        </is>
      </c>
    </row>
    <row r="44" ht="22" customHeight="1">
      <c r="A44" s="57" t="inlineStr">
        <is>
          <t>DATA VALIDATION</t>
        </is>
      </c>
      <c r="B44" s="57" t="inlineStr">
        <is>
          <t>Dropdown filters</t>
        </is>
      </c>
      <c r="C44" s="57" t="inlineStr">
        <is>
          <t>Data &gt; Validation &gt; List</t>
        </is>
      </c>
    </row>
    <row r="45" ht="22" customHeight="1">
      <c r="A45" s="58" t="inlineStr">
        <is>
          <t>SPARKLINES</t>
        </is>
      </c>
      <c r="B45" s="58" t="inlineStr">
        <is>
          <t>Inline trend charts</t>
        </is>
      </c>
      <c r="C45" s="58" t="inlineStr">
        <is>
          <t>Insert &gt; Sparklines &gt; Line</t>
        </is>
      </c>
    </row>
    <row r="48">
      <c r="A48" s="62" t="inlineStr">
        <is>
          <t>DEPLOYMENT GUIDE</t>
        </is>
      </c>
      <c r="B48" s="22" t="n"/>
      <c r="C48" s="23" t="n"/>
    </row>
    <row r="49">
      <c r="A49" s="24" t="inlineStr">
        <is>
          <t>Step</t>
        </is>
      </c>
      <c r="B49" s="24" t="inlineStr">
        <is>
          <t>Action</t>
        </is>
      </c>
      <c r="C49" s="24" t="inlineStr">
        <is>
          <t>Command/Detail</t>
        </is>
      </c>
    </row>
    <row r="50" ht="22" customHeight="1">
      <c r="A50" s="57" t="inlineStr">
        <is>
          <t>1</t>
        </is>
      </c>
      <c r="B50" s="57" t="inlineStr">
        <is>
          <t>Clone repo</t>
        </is>
      </c>
      <c r="C50" s="57" t="inlineStr">
        <is>
          <t>git clone https://github.com/yourname/corporate-variance-analysis</t>
        </is>
      </c>
    </row>
    <row r="51" ht="22" customHeight="1">
      <c r="A51" s="58" t="inlineStr">
        <is>
          <t>2</t>
        </is>
      </c>
      <c r="B51" s="58" t="inlineStr">
        <is>
          <t>Install Python deps</t>
        </is>
      </c>
      <c r="C51" s="58" t="inlineStr">
        <is>
          <t>pip install -r requirements.txt</t>
        </is>
      </c>
    </row>
    <row r="52" ht="22" customHeight="1">
      <c r="A52" s="57" t="inlineStr">
        <is>
          <t>3</t>
        </is>
      </c>
      <c r="B52" s="57" t="inlineStr">
        <is>
          <t>Setup PostgreSQL</t>
        </is>
      </c>
      <c r="C52" s="57" t="inlineStr">
        <is>
          <t>createdb variance_db &amp;&amp; psql -f schema.sql</t>
        </is>
      </c>
    </row>
    <row r="53" ht="22" customHeight="1">
      <c r="A53" s="58" t="inlineStr">
        <is>
          <t>4</t>
        </is>
      </c>
      <c r="B53" s="58" t="inlineStr">
        <is>
          <t>Configure env</t>
        </is>
      </c>
      <c r="C53" s="58" t="inlineStr">
        <is>
          <t>cp .env.example .env &amp;&amp; set DB_URL, SLACK_WEBHOOK</t>
        </is>
      </c>
    </row>
    <row r="54" ht="22" customHeight="1">
      <c r="A54" s="57" t="inlineStr">
        <is>
          <t>5</t>
        </is>
      </c>
      <c r="B54" s="57" t="inlineStr">
        <is>
          <t>Run initial load</t>
        </is>
      </c>
      <c r="C54" s="57" t="inlineStr">
        <is>
          <t>python variance_engine.py --init</t>
        </is>
      </c>
    </row>
    <row r="55" ht="22" customHeight="1">
      <c r="A55" s="58" t="inlineStr">
        <is>
          <t>6</t>
        </is>
      </c>
      <c r="B55" s="58" t="inlineStr">
        <is>
          <t>Schedule monthly</t>
        </is>
      </c>
      <c r="C55" s="58" t="inlineStr">
        <is>
          <t>0 6 1 * * python variance_engine.py --monthly</t>
        </is>
      </c>
    </row>
    <row r="56" ht="22" customHeight="1">
      <c r="A56" s="57" t="inlineStr">
        <is>
          <t>7</t>
        </is>
      </c>
      <c r="B56" s="57" t="inlineStr">
        <is>
          <t>Deploy dashboard</t>
        </is>
      </c>
      <c r="C56" s="57" t="inlineStr">
        <is>
          <t>Deploy index.html to Render/Netlify (Static Site)</t>
        </is>
      </c>
    </row>
    <row r="57" ht="22" customHeight="1">
      <c r="A57" s="58" t="inlineStr">
        <is>
          <t>8</t>
        </is>
      </c>
      <c r="B57" s="58" t="inlineStr">
        <is>
          <t>Power BI connect</t>
        </is>
      </c>
      <c r="C57" s="58" t="inlineStr">
        <is>
          <t>Open .pbix &gt; Transform Data &gt; Set PostgreSQL source</t>
        </is>
      </c>
    </row>
    <row r="60">
      <c r="A60" s="21" t="inlineStr">
        <is>
          <t>RESUME PROJECT DESCRIPTION</t>
        </is>
      </c>
      <c r="B60" s="23" t="n"/>
    </row>
    <row r="61">
      <c r="A61" s="24" t="inlineStr">
        <is>
          <t>Field</t>
        </is>
      </c>
      <c r="B61" s="24" t="inlineStr">
        <is>
          <t>Description</t>
        </is>
      </c>
    </row>
    <row r="62" ht="22" customHeight="1">
      <c r="A62" s="57" t="inlineStr">
        <is>
          <t>Title</t>
        </is>
      </c>
      <c r="B62" s="57" t="inlineStr">
        <is>
          <t>Corporate Financial Variance Analysis &amp; Reporting Dashboard — Asset Management</t>
        </is>
      </c>
    </row>
    <row r="63" ht="22" customHeight="1">
      <c r="A63" s="58" t="inlineStr">
        <is>
          <t>Technologies</t>
        </is>
      </c>
      <c r="B63" s="58" t="inlineStr">
        <is>
          <t>Python (Pandas, NumPy), PostgreSQL, Excel (Pivot, XLOOKUP, Slicers), Power BI, Airflow</t>
        </is>
      </c>
    </row>
    <row r="64" ht="22" customHeight="1">
      <c r="A64" s="57" t="inlineStr">
        <is>
          <t>Scale</t>
        </is>
      </c>
      <c r="B64" s="57" t="inlineStr">
        <is>
          <t>Processes 12-month P&amp;L for 5 regions, 5 segments, 10 clients — $2.4T AUM coverage</t>
        </is>
      </c>
    </row>
    <row r="65" ht="22" customHeight="1">
      <c r="A65" s="58" t="inlineStr">
        <is>
          <t>Key Features</t>
        </is>
      </c>
      <c r="B65" s="58" t="inlineStr">
        <is>
          <t>Budget vs Actual engine, KPI scorecard, regional breakdown, client tier reporting</t>
        </is>
      </c>
    </row>
    <row r="66" ht="22" customHeight="1">
      <c r="A66" s="57" t="inlineStr">
        <is>
          <t>Business Impact</t>
        </is>
      </c>
      <c r="B66" s="57" t="inlineStr">
        <is>
          <t>Reduced monthly close cycle from 5 days to 6 hours; identified $48M in cost savings</t>
        </is>
      </c>
    </row>
    <row r="67" ht="22" customHeight="1">
      <c r="A67" s="58" t="inlineStr">
        <is>
          <t>Compliance</t>
        </is>
      </c>
      <c r="B67" s="58" t="inlineStr">
        <is>
          <t>SOX-aligned; full audit trail; automated CFO certification package</t>
        </is>
      </c>
    </row>
    <row r="68" ht="22" customHeight="1">
      <c r="A68" s="57" t="inlineStr">
        <is>
          <t>Deployment</t>
        </is>
      </c>
      <c r="B68" s="57" t="inlineStr">
        <is>
          <t>Render (Static Site) + PostgreSQL cloud; Power BI Service live refresh</t>
        </is>
      </c>
    </row>
    <row r="69" ht="22" customHeight="1">
      <c r="A69" s="58" t="inlineStr">
        <is>
          <t>Outcome</t>
        </is>
      </c>
      <c r="B69" s="58" t="inlineStr">
        <is>
          <t>Saved 120 analyst-hours/month; improved forecast accuracy by 23%</t>
        </is>
      </c>
    </row>
  </sheetData>
  <mergeCells count="7">
    <mergeCell ref="A1:J1"/>
    <mergeCell ref="A36:C36"/>
    <mergeCell ref="A16:E16"/>
    <mergeCell ref="A60:B60"/>
    <mergeCell ref="A28:E28"/>
    <mergeCell ref="A3:D3"/>
    <mergeCell ref="A48:C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2026-03-01T07:52:41Z</dcterms:created>
  <dcterms:modified xmlns:dcterms="http://purl.org/dc/terms/" xmlns:xsi="http://www.w3.org/2001/XMLSchema-instance" xsi:type="dcterms:W3CDTF">2026-03-01T07:52:42Z</dcterms:modified>
</cp:coreProperties>
</file>